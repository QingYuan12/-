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QingYuan\Desktop\"/>
    </mc:Choice>
  </mc:AlternateContent>
  <xr:revisionPtr revIDLastSave="0" documentId="13_ncr:1_{11DDB26C-1ABD-4E45-9AB2-636CD3AFA854}" xr6:coauthVersionLast="47" xr6:coauthVersionMax="47" xr10:uidLastSave="{00000000-0000-0000-0000-000000000000}"/>
  <bookViews>
    <workbookView xWindow="-108" yWindow="-108" windowWidth="23256" windowHeight="12456" activeTab="3" xr2:uid="{54191541-6C1E-4570-944D-47419DF16BDA}"/>
  </bookViews>
  <sheets>
    <sheet name="死仇" sheetId="1" r:id="rId1"/>
    <sheet name="美愿" sheetId="2" r:id="rId2"/>
    <sheet name="涂鸦" sheetId="3" r:id="rId3"/>
    <sheet name="无相遇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2" i="4" l="1"/>
  <c r="H32" i="4"/>
  <c r="G32" i="4"/>
  <c r="F32" i="4"/>
  <c r="E32" i="4"/>
  <c r="D32" i="4"/>
  <c r="M29" i="4"/>
  <c r="L29" i="4"/>
  <c r="K29" i="4"/>
  <c r="J29" i="4"/>
  <c r="I29" i="4"/>
  <c r="H29" i="4"/>
  <c r="G29" i="4"/>
  <c r="F29" i="4"/>
  <c r="E29" i="4"/>
  <c r="D29" i="4"/>
  <c r="L26" i="4"/>
  <c r="I26" i="4"/>
  <c r="J26" i="4"/>
  <c r="K26" i="4"/>
  <c r="H26" i="4"/>
  <c r="E26" i="4"/>
  <c r="F26" i="4"/>
  <c r="G26" i="4"/>
  <c r="D26" i="4"/>
  <c r="K23" i="4"/>
  <c r="I23" i="4"/>
  <c r="J23" i="4"/>
  <c r="H23" i="4"/>
  <c r="G23" i="4"/>
  <c r="F23" i="4"/>
  <c r="E23" i="4"/>
  <c r="D23" i="4"/>
  <c r="K20" i="4"/>
  <c r="J20" i="4"/>
  <c r="I20" i="4"/>
  <c r="H20" i="4"/>
  <c r="G20" i="4"/>
  <c r="E20" i="4"/>
  <c r="F20" i="4"/>
  <c r="D20" i="4"/>
  <c r="E17" i="4"/>
  <c r="F17" i="4"/>
  <c r="G17" i="4"/>
  <c r="H17" i="4"/>
  <c r="I17" i="4"/>
  <c r="D17" i="4"/>
  <c r="J14" i="4"/>
  <c r="K14" i="4"/>
  <c r="L14" i="4"/>
  <c r="M14" i="4"/>
  <c r="I14" i="4"/>
  <c r="H14" i="4"/>
  <c r="E14" i="4"/>
  <c r="F14" i="4"/>
  <c r="G14" i="4"/>
  <c r="D14" i="4"/>
  <c r="M11" i="4"/>
  <c r="L11" i="4"/>
  <c r="J11" i="4"/>
  <c r="K11" i="4"/>
  <c r="I11" i="4"/>
  <c r="H11" i="4"/>
  <c r="G11" i="4"/>
  <c r="F11" i="4"/>
  <c r="E11" i="4"/>
  <c r="D11" i="4"/>
  <c r="M8" i="4"/>
  <c r="L8" i="4"/>
  <c r="K8" i="4"/>
  <c r="J8" i="4"/>
  <c r="I8" i="4"/>
  <c r="H8" i="4"/>
  <c r="E8" i="4"/>
  <c r="F8" i="4"/>
  <c r="G8" i="4"/>
  <c r="D8" i="4"/>
  <c r="K5" i="4"/>
  <c r="L5" i="4"/>
  <c r="J5" i="4"/>
  <c r="I5" i="4"/>
  <c r="H5" i="4"/>
  <c r="G5" i="4"/>
  <c r="F5" i="4"/>
  <c r="E5" i="4"/>
  <c r="D5" i="4"/>
  <c r="P17" i="3"/>
  <c r="O17" i="3"/>
  <c r="N17" i="3"/>
  <c r="M17" i="3"/>
  <c r="L17" i="3"/>
  <c r="K17" i="3"/>
  <c r="I17" i="3"/>
  <c r="J17" i="3"/>
  <c r="H17" i="3"/>
  <c r="E17" i="3"/>
  <c r="F17" i="3"/>
  <c r="G17" i="3"/>
  <c r="D17" i="3"/>
  <c r="G14" i="3"/>
  <c r="E14" i="3"/>
  <c r="F14" i="3"/>
  <c r="D14" i="3"/>
  <c r="P14" i="3"/>
  <c r="O14" i="3"/>
  <c r="N14" i="3"/>
  <c r="M14" i="3"/>
  <c r="L14" i="3"/>
  <c r="K14" i="3"/>
  <c r="J14" i="3"/>
  <c r="I14" i="3"/>
  <c r="H14" i="3"/>
  <c r="O11" i="3"/>
  <c r="M11" i="3"/>
  <c r="N11" i="3"/>
  <c r="L11" i="3"/>
  <c r="K11" i="3"/>
  <c r="I11" i="3"/>
  <c r="J11" i="3"/>
  <c r="H11" i="3"/>
  <c r="G11" i="3"/>
  <c r="F11" i="3"/>
  <c r="E11" i="3"/>
  <c r="D11" i="3"/>
  <c r="P8" i="3"/>
  <c r="O8" i="3"/>
  <c r="N8" i="3"/>
  <c r="M8" i="3"/>
  <c r="J8" i="3"/>
  <c r="K8" i="3"/>
  <c r="L8" i="3"/>
  <c r="I8" i="3"/>
  <c r="E8" i="3"/>
  <c r="F8" i="3"/>
  <c r="G8" i="3"/>
  <c r="H8" i="3"/>
  <c r="D8" i="3"/>
  <c r="E5" i="3"/>
  <c r="D5" i="3"/>
  <c r="O35" i="2"/>
  <c r="N35" i="2"/>
  <c r="M35" i="2"/>
  <c r="L35" i="2"/>
  <c r="K38" i="2"/>
  <c r="J38" i="2"/>
  <c r="I38" i="2"/>
  <c r="H38" i="2"/>
  <c r="G38" i="2"/>
  <c r="F38" i="2"/>
  <c r="E38" i="2"/>
  <c r="D38" i="2"/>
  <c r="P38" i="2"/>
  <c r="O38" i="2"/>
  <c r="N38" i="2"/>
  <c r="M38" i="2"/>
  <c r="L38" i="2"/>
  <c r="K35" i="2"/>
  <c r="J35" i="2"/>
  <c r="I35" i="2"/>
  <c r="H35" i="2"/>
  <c r="G35" i="2"/>
  <c r="F35" i="2"/>
  <c r="E35" i="2"/>
  <c r="D35" i="2"/>
  <c r="M29" i="2"/>
  <c r="I29" i="2"/>
  <c r="E29" i="2"/>
  <c r="I32" i="2"/>
  <c r="H32" i="2"/>
  <c r="E32" i="2"/>
  <c r="F32" i="2"/>
  <c r="G32" i="2"/>
  <c r="D32" i="2"/>
  <c r="J29" i="2"/>
  <c r="K29" i="2"/>
  <c r="L29" i="2"/>
  <c r="H29" i="2"/>
  <c r="F29" i="2"/>
  <c r="G29" i="2"/>
  <c r="D29" i="2"/>
  <c r="M26" i="2"/>
  <c r="L26" i="2"/>
  <c r="J26" i="2"/>
  <c r="K26" i="2"/>
  <c r="I26" i="2"/>
  <c r="H26" i="2"/>
  <c r="G26" i="2"/>
  <c r="F26" i="2"/>
  <c r="E26" i="2"/>
  <c r="D26" i="2"/>
  <c r="M23" i="2"/>
  <c r="L23" i="2"/>
  <c r="K23" i="2"/>
  <c r="J23" i="2"/>
  <c r="I23" i="2"/>
  <c r="H23" i="2"/>
  <c r="G23" i="2"/>
  <c r="E23" i="2"/>
  <c r="F23" i="2"/>
  <c r="D23" i="2"/>
  <c r="K20" i="2"/>
  <c r="L20" i="2"/>
  <c r="M20" i="2"/>
  <c r="N20" i="2"/>
  <c r="O20" i="2"/>
  <c r="P20" i="2"/>
  <c r="J20" i="2"/>
  <c r="E20" i="2"/>
  <c r="F20" i="2"/>
  <c r="G20" i="2"/>
  <c r="H20" i="2"/>
  <c r="I20" i="2"/>
  <c r="D20" i="2"/>
  <c r="O17" i="2"/>
  <c r="K17" i="2"/>
  <c r="L17" i="2"/>
  <c r="M17" i="2"/>
  <c r="N17" i="2"/>
  <c r="J17" i="2"/>
  <c r="I17" i="2"/>
  <c r="H17" i="2"/>
  <c r="E17" i="2"/>
  <c r="F17" i="2"/>
  <c r="G17" i="2"/>
  <c r="D17" i="2"/>
  <c r="O14" i="2"/>
  <c r="N14" i="2"/>
  <c r="M14" i="2"/>
  <c r="K14" i="2"/>
  <c r="L14" i="2"/>
  <c r="J14" i="2"/>
  <c r="I14" i="2"/>
  <c r="H14" i="2"/>
  <c r="G14" i="2"/>
  <c r="F14" i="2"/>
  <c r="E14" i="2"/>
  <c r="D14" i="2"/>
  <c r="O11" i="2"/>
  <c r="N11" i="2"/>
  <c r="M11" i="2"/>
  <c r="L11" i="2"/>
  <c r="K11" i="2"/>
  <c r="J11" i="2"/>
  <c r="E11" i="2"/>
  <c r="F11" i="2"/>
  <c r="G11" i="2"/>
  <c r="H11" i="2"/>
  <c r="I11" i="2"/>
  <c r="D11" i="2"/>
  <c r="J8" i="2"/>
  <c r="H8" i="2"/>
  <c r="I8" i="2"/>
  <c r="G8" i="2"/>
  <c r="E8" i="2"/>
  <c r="F8" i="2"/>
  <c r="D8" i="2"/>
  <c r="L5" i="2"/>
  <c r="K5" i="2"/>
  <c r="J5" i="2"/>
  <c r="I5" i="2"/>
  <c r="H5" i="2"/>
  <c r="G5" i="2"/>
  <c r="F5" i="2"/>
  <c r="E5" i="2"/>
  <c r="D5" i="2"/>
  <c r="L26" i="1"/>
  <c r="K26" i="1"/>
  <c r="J26" i="1"/>
  <c r="I26" i="1"/>
  <c r="H26" i="1"/>
  <c r="I17" i="1"/>
  <c r="H17" i="1"/>
  <c r="G17" i="1"/>
  <c r="F17" i="1"/>
  <c r="E17" i="1"/>
  <c r="D17" i="1"/>
  <c r="L5" i="1"/>
  <c r="K5" i="1"/>
  <c r="J5" i="1"/>
  <c r="M29" i="1"/>
  <c r="L29" i="1"/>
  <c r="K29" i="1"/>
  <c r="J29" i="1"/>
  <c r="I32" i="1"/>
  <c r="H32" i="1"/>
  <c r="G32" i="1"/>
  <c r="F32" i="1"/>
  <c r="E32" i="1"/>
  <c r="D32" i="1"/>
  <c r="I29" i="1"/>
  <c r="H29" i="1"/>
  <c r="G29" i="1"/>
  <c r="F29" i="1"/>
  <c r="E29" i="1"/>
  <c r="D29" i="1"/>
  <c r="G26" i="1"/>
  <c r="F26" i="1"/>
  <c r="E26" i="1"/>
  <c r="D26" i="1"/>
  <c r="K23" i="1"/>
  <c r="J23" i="1"/>
  <c r="I23" i="1"/>
  <c r="H23" i="1"/>
  <c r="G23" i="1"/>
  <c r="F23" i="1"/>
  <c r="E23" i="1"/>
  <c r="D23" i="1"/>
  <c r="K20" i="1"/>
  <c r="J20" i="1"/>
  <c r="I20" i="1"/>
  <c r="H20" i="1"/>
  <c r="G20" i="1"/>
  <c r="E20" i="1"/>
  <c r="F20" i="1"/>
  <c r="D20" i="1"/>
  <c r="M14" i="1"/>
  <c r="L14" i="1"/>
  <c r="K14" i="1"/>
  <c r="J14" i="1"/>
  <c r="I14" i="1"/>
  <c r="H14" i="1"/>
  <c r="G14" i="1"/>
  <c r="F14" i="1"/>
  <c r="E14" i="1"/>
  <c r="D14" i="1"/>
  <c r="M11" i="1"/>
  <c r="L11" i="1"/>
  <c r="K11" i="1"/>
  <c r="J11" i="1"/>
  <c r="I11" i="1"/>
  <c r="H11" i="1"/>
  <c r="G11" i="1"/>
  <c r="F11" i="1"/>
  <c r="E11" i="1"/>
  <c r="D11" i="1"/>
  <c r="M8" i="1"/>
  <c r="L8" i="1"/>
  <c r="K8" i="1"/>
  <c r="J8" i="1"/>
  <c r="I8" i="1"/>
  <c r="E8" i="1"/>
  <c r="F8" i="1"/>
  <c r="G8" i="1"/>
  <c r="H8" i="1"/>
  <c r="D8" i="1"/>
  <c r="I5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<sst xmlns="http://schemas.openxmlformats.org/spreadsheetml/2006/main" count="562" uniqueCount="27">
  <si>
    <t>死仇紧急</t>
    <phoneticPr fontId="1" type="noConversion"/>
  </si>
  <si>
    <t>涂鸦紧急</t>
    <phoneticPr fontId="1" type="noConversion"/>
  </si>
  <si>
    <t>美愿得偿</t>
    <phoneticPr fontId="1" type="noConversion"/>
  </si>
  <si>
    <t>紧急</t>
    <phoneticPr fontId="1" type="noConversion"/>
  </si>
  <si>
    <t>作战</t>
    <phoneticPr fontId="1" type="noConversion"/>
  </si>
  <si>
    <t>不期</t>
    <phoneticPr fontId="1" type="noConversion"/>
  </si>
  <si>
    <t>安全</t>
    <phoneticPr fontId="1" type="noConversion"/>
  </si>
  <si>
    <t>先行</t>
    <phoneticPr fontId="1" type="noConversion"/>
  </si>
  <si>
    <t>失与得</t>
    <phoneticPr fontId="1" type="noConversion"/>
  </si>
  <si>
    <t>死仇</t>
    <phoneticPr fontId="1" type="noConversion"/>
  </si>
  <si>
    <t>得偿</t>
    <phoneticPr fontId="1" type="noConversion"/>
  </si>
  <si>
    <t>初始节点</t>
    <phoneticPr fontId="1" type="noConversion"/>
  </si>
  <si>
    <t>一层</t>
    <phoneticPr fontId="1" type="noConversion"/>
  </si>
  <si>
    <t>二~四层</t>
    <phoneticPr fontId="1" type="noConversion"/>
  </si>
  <si>
    <t>五层及以上</t>
    <phoneticPr fontId="1" type="noConversion"/>
  </si>
  <si>
    <t>树洞</t>
    <phoneticPr fontId="1" type="noConversion"/>
  </si>
  <si>
    <t>商店</t>
    <phoneticPr fontId="1" type="noConversion"/>
  </si>
  <si>
    <t>美愿</t>
    <phoneticPr fontId="1" type="noConversion"/>
  </si>
  <si>
    <t>商店/得偿</t>
    <phoneticPr fontId="1" type="noConversion"/>
  </si>
  <si>
    <t>不期/商店</t>
    <phoneticPr fontId="1" type="noConversion"/>
  </si>
  <si>
    <t>涂鸦</t>
    <phoneticPr fontId="1" type="noConversion"/>
  </si>
  <si>
    <t>紧急/商店</t>
    <phoneticPr fontId="1" type="noConversion"/>
  </si>
  <si>
    <t>无相遇</t>
    <phoneticPr fontId="1" type="noConversion"/>
  </si>
  <si>
    <t>目标节点</t>
  </si>
  <si>
    <t>目标节点</t>
    <phoneticPr fontId="1" type="noConversion"/>
  </si>
  <si>
    <t>不期/得偿/商店</t>
    <phoneticPr fontId="1" type="noConversion"/>
  </si>
  <si>
    <t>紧急/商店/得偿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</si>
</sst>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0" fontId="0" fillId="0" borderId="2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10" fontId="0" fillId="0" borderId="2" xfId="1" applyNumberFormat="1" applyFont="1" applyFill="1" applyBorder="1" applyAlignment="1">
      <alignment horizontal="center" vertical="center"/>
    </xf>
    <xf numFmtId="10" fontId="0" fillId="0" borderId="3" xfId="1" applyNumberFormat="1" applyFont="1" applyFill="1" applyBorder="1" applyAlignment="1">
      <alignment horizontal="center" vertical="center"/>
    </xf>
    <xf numFmtId="10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0452-966C-4E6B-85D4-C9232A46BB2C}">
  <dimension ref="A1:M32"/>
  <sheetViews>
    <sheetView topLeftCell="A15" zoomScale="130" zoomScaleNormal="130" workbookViewId="0">
      <selection activeCell="O29" sqref="O29"/>
    </sheetView>
  </sheetViews>
  <sheetFormatPr defaultRowHeight="13.8" x14ac:dyDescent="0.25"/>
  <cols>
    <col min="1" max="1" width="8.88671875" style="1"/>
    <col min="2" max="2" width="11.6640625" style="1" bestFit="1" customWidth="1"/>
    <col min="3" max="16384" width="8.88671875" style="1"/>
  </cols>
  <sheetData>
    <row r="1" spans="1:13" hidden="1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0</v>
      </c>
      <c r="H1" s="5" t="s">
        <v>1</v>
      </c>
      <c r="I1" s="5" t="s">
        <v>2</v>
      </c>
      <c r="J1" s="5"/>
      <c r="K1" s="5"/>
      <c r="L1" s="5"/>
      <c r="M1" s="5"/>
    </row>
    <row r="2" spans="1:13" hidden="1" x14ac:dyDescent="0.25">
      <c r="A2" s="5">
        <v>23.18</v>
      </c>
      <c r="B2" s="5">
        <v>30.11</v>
      </c>
      <c r="C2" s="5">
        <v>24.09</v>
      </c>
      <c r="D2" s="5">
        <v>17.79</v>
      </c>
      <c r="E2" s="5">
        <v>17.93</v>
      </c>
      <c r="F2" s="5">
        <v>18.489999999999998</v>
      </c>
      <c r="G2" s="5">
        <v>100</v>
      </c>
      <c r="H2" s="5">
        <v>0</v>
      </c>
      <c r="I2" s="5">
        <v>100</v>
      </c>
      <c r="J2" s="5"/>
      <c r="K2" s="5"/>
      <c r="L2" s="5"/>
      <c r="M2" s="5"/>
    </row>
    <row r="3" spans="1:13" x14ac:dyDescent="0.25">
      <c r="A3" s="25" t="s">
        <v>9</v>
      </c>
      <c r="B3" s="27" t="s">
        <v>12</v>
      </c>
      <c r="C3" s="9" t="s">
        <v>11</v>
      </c>
      <c r="D3" s="24" t="s">
        <v>3</v>
      </c>
      <c r="E3" s="25"/>
      <c r="F3" s="24" t="s">
        <v>4</v>
      </c>
      <c r="G3" s="25"/>
      <c r="H3" s="24" t="s">
        <v>5</v>
      </c>
      <c r="I3" s="25"/>
      <c r="J3" s="24" t="s">
        <v>16</v>
      </c>
      <c r="K3" s="24"/>
      <c r="L3" s="25"/>
      <c r="M3" s="6"/>
    </row>
    <row r="4" spans="1:13" x14ac:dyDescent="0.25">
      <c r="A4" s="25"/>
      <c r="B4" s="27"/>
      <c r="C4" s="27" t="s">
        <v>23</v>
      </c>
      <c r="D4" s="5" t="s">
        <v>4</v>
      </c>
      <c r="E4" s="6" t="s">
        <v>5</v>
      </c>
      <c r="F4" s="5" t="s">
        <v>3</v>
      </c>
      <c r="G4" s="6" t="s">
        <v>5</v>
      </c>
      <c r="H4" s="5" t="s">
        <v>3</v>
      </c>
      <c r="I4" s="6" t="s">
        <v>4</v>
      </c>
      <c r="J4" s="5" t="s">
        <v>3</v>
      </c>
      <c r="K4" s="5" t="s">
        <v>4</v>
      </c>
      <c r="L4" s="6" t="s">
        <v>5</v>
      </c>
      <c r="M4" s="6"/>
    </row>
    <row r="5" spans="1:13" ht="14.4" thickBot="1" x14ac:dyDescent="0.3">
      <c r="A5" s="25"/>
      <c r="B5" s="28"/>
      <c r="C5" s="28"/>
      <c r="D5" s="3">
        <f>B2/(B2+C2)</f>
        <v>0.55553505535055347</v>
      </c>
      <c r="E5" s="8">
        <f>C2/(B2+C2)</f>
        <v>0.44446494464944647</v>
      </c>
      <c r="F5" s="3">
        <f>G2/(G2+C2)</f>
        <v>0.80586670964622453</v>
      </c>
      <c r="G5" s="8">
        <f>C2/(G2+C2)</f>
        <v>0.19413329035377547</v>
      </c>
      <c r="H5" s="3">
        <f>G2/(G2+B2)</f>
        <v>0.76858043194220271</v>
      </c>
      <c r="I5" s="8">
        <f>B2/(G2+B2)</f>
        <v>0.23141956805779723</v>
      </c>
      <c r="J5" s="4">
        <f>G2/SUM($G$2,$B$2,$C$2)</f>
        <v>0.64850843060959784</v>
      </c>
      <c r="K5" s="4">
        <f>B2/SUM($G$2,$B$2,$C$2)</f>
        <v>0.19526588845654991</v>
      </c>
      <c r="L5" s="7">
        <f>C2/SUM($G$2,$B$2,$C$2)</f>
        <v>0.15622568093385211</v>
      </c>
      <c r="M5" s="7"/>
    </row>
    <row r="6" spans="1:13" x14ac:dyDescent="0.25">
      <c r="A6" s="25"/>
      <c r="B6" s="27" t="s">
        <v>13</v>
      </c>
      <c r="C6" s="9" t="s">
        <v>11</v>
      </c>
      <c r="D6" s="24" t="s">
        <v>3</v>
      </c>
      <c r="E6" s="24"/>
      <c r="F6" s="24"/>
      <c r="G6" s="24"/>
      <c r="H6" s="25"/>
      <c r="I6" s="24" t="s">
        <v>4</v>
      </c>
      <c r="J6" s="24"/>
      <c r="K6" s="24"/>
      <c r="L6" s="24"/>
      <c r="M6" s="25"/>
    </row>
    <row r="7" spans="1:13" x14ac:dyDescent="0.25">
      <c r="A7" s="25"/>
      <c r="B7" s="27"/>
      <c r="C7" s="27" t="s">
        <v>23</v>
      </c>
      <c r="D7" s="5" t="s">
        <v>4</v>
      </c>
      <c r="E7" s="5" t="s">
        <v>5</v>
      </c>
      <c r="F7" s="5" t="s">
        <v>6</v>
      </c>
      <c r="G7" s="5" t="s">
        <v>7</v>
      </c>
      <c r="H7" s="6" t="s">
        <v>8</v>
      </c>
      <c r="I7" s="5" t="s">
        <v>3</v>
      </c>
      <c r="J7" s="5" t="s">
        <v>5</v>
      </c>
      <c r="K7" s="5" t="s">
        <v>6</v>
      </c>
      <c r="L7" s="5" t="s">
        <v>7</v>
      </c>
      <c r="M7" s="6" t="s">
        <v>8</v>
      </c>
    </row>
    <row r="8" spans="1:13" ht="14.4" thickBot="1" x14ac:dyDescent="0.3">
      <c r="A8" s="25"/>
      <c r="B8" s="27"/>
      <c r="C8" s="28"/>
      <c r="D8" s="12">
        <f>B2/SUM($B$2,$C$2,$D$2,$E$2,$F$2)</f>
        <v>0.2777419057282538</v>
      </c>
      <c r="E8" s="3">
        <f>C2/SUM($B$2,$C$2,$D$2,$E$2,$F$2)</f>
        <v>0.22221197306521537</v>
      </c>
      <c r="F8" s="3">
        <f>D2/SUM($B$2,$C$2,$D$2,$E$2,$F$2)</f>
        <v>0.16409925283645418</v>
      </c>
      <c r="G8" s="3">
        <f>E2/SUM($B$2,$C$2,$D$2,$E$2,$F$2)</f>
        <v>0.16539064661931555</v>
      </c>
      <c r="H8" s="8">
        <f>F2/SUM($B$2,$C$2,$D$2,$E$2,$F$2)</f>
        <v>0.17055622175076096</v>
      </c>
      <c r="I8" s="3">
        <f>G2/SUM($G$2,$C$2,$D$2,$E$2,$F$2)</f>
        <v>0.5608524957936063</v>
      </c>
      <c r="J8" s="3">
        <f>C2/SUM($G$2,$C$2,$D$2,$E$2,$F$2)</f>
        <v>0.13510936623667974</v>
      </c>
      <c r="K8" s="3">
        <f>D2/SUM($G$2,$C$2,$D$2,$E$2,$F$2)</f>
        <v>9.9775659001682546E-2</v>
      </c>
      <c r="L8" s="3">
        <f>E2/SUM($G$2,$C$2,$D$2,$E$2,$F$2)</f>
        <v>0.10056085249579359</v>
      </c>
      <c r="M8" s="8">
        <f>F2/SUM($G$2,$C$2,$D$2,$E$2,$F$2)</f>
        <v>0.10370162647223778</v>
      </c>
    </row>
    <row r="9" spans="1:13" x14ac:dyDescent="0.25">
      <c r="A9" s="25"/>
      <c r="B9" s="27"/>
      <c r="C9" s="9" t="s">
        <v>11</v>
      </c>
      <c r="D9" s="24" t="s">
        <v>5</v>
      </c>
      <c r="E9" s="24"/>
      <c r="F9" s="24"/>
      <c r="G9" s="24"/>
      <c r="H9" s="25"/>
      <c r="I9" s="24" t="s">
        <v>6</v>
      </c>
      <c r="J9" s="24"/>
      <c r="K9" s="24"/>
      <c r="L9" s="24"/>
      <c r="M9" s="25"/>
    </row>
    <row r="10" spans="1:13" x14ac:dyDescent="0.25">
      <c r="A10" s="25"/>
      <c r="B10" s="27"/>
      <c r="C10" s="27" t="s">
        <v>23</v>
      </c>
      <c r="D10" s="5" t="s">
        <v>3</v>
      </c>
      <c r="E10" s="5" t="s">
        <v>4</v>
      </c>
      <c r="F10" s="5" t="s">
        <v>6</v>
      </c>
      <c r="G10" s="5" t="s">
        <v>7</v>
      </c>
      <c r="H10" s="6" t="s">
        <v>8</v>
      </c>
      <c r="I10" s="5" t="s">
        <v>3</v>
      </c>
      <c r="J10" s="5" t="s">
        <v>4</v>
      </c>
      <c r="K10" s="5" t="s">
        <v>5</v>
      </c>
      <c r="L10" s="5" t="s">
        <v>7</v>
      </c>
      <c r="M10" s="6" t="s">
        <v>8</v>
      </c>
    </row>
    <row r="11" spans="1:13" ht="14.4" thickBot="1" x14ac:dyDescent="0.3">
      <c r="A11" s="25"/>
      <c r="B11" s="27"/>
      <c r="C11" s="28"/>
      <c r="D11" s="12">
        <f>G2/SUM($G$2,$B$2,$D$2,$E$2,$F$2)</f>
        <v>0.54253472222222221</v>
      </c>
      <c r="E11" s="3">
        <f>B2/SUM($G$2,$B$2,$D$2,$E$2,$F$2)</f>
        <v>0.16335720486111108</v>
      </c>
      <c r="F11" s="3">
        <f>D2/SUM($G$2,$B$2,$D$2,$E$2,$F$2)</f>
        <v>9.6516927083333315E-2</v>
      </c>
      <c r="G11" s="3">
        <f>E2/SUM($G$2,$B$2,$D$2,$E$2,$F$2)</f>
        <v>9.7276475694444434E-2</v>
      </c>
      <c r="H11" s="8">
        <f>F2/SUM($G$2,$B$2,$D$2,$E$2,$F$2)</f>
        <v>0.10031467013888887</v>
      </c>
      <c r="I11" s="3">
        <f>G2/SUM($G$2,$B$2,$C$2,$E$2,$F$2)</f>
        <v>0.52460392403735168</v>
      </c>
      <c r="J11" s="3">
        <f>B2/SUM($G$2,$B$2,$C$2,$E$2,$F$2)</f>
        <v>0.15795824152764659</v>
      </c>
      <c r="K11" s="3">
        <f>C2/SUM($G$2,$B$2,$C$2,$E$2,$F$2)</f>
        <v>0.12637708530059802</v>
      </c>
      <c r="L11" s="3">
        <f>E2/SUM($G$2,$B$2,$C$2,$E$2,$F$2)</f>
        <v>9.4061483579897159E-2</v>
      </c>
      <c r="M11" s="8">
        <f>F2/SUM($G$2,$B$2,$C$2,$E$2,$F$2)</f>
        <v>9.6999265554506317E-2</v>
      </c>
    </row>
    <row r="12" spans="1:13" x14ac:dyDescent="0.25">
      <c r="A12" s="25"/>
      <c r="B12" s="27"/>
      <c r="C12" s="9" t="s">
        <v>11</v>
      </c>
      <c r="D12" s="24" t="s">
        <v>7</v>
      </c>
      <c r="E12" s="24"/>
      <c r="F12" s="24"/>
      <c r="G12" s="24"/>
      <c r="H12" s="25"/>
      <c r="I12" s="24" t="s">
        <v>8</v>
      </c>
      <c r="J12" s="24"/>
      <c r="K12" s="24"/>
      <c r="L12" s="24"/>
      <c r="M12" s="25"/>
    </row>
    <row r="13" spans="1:13" x14ac:dyDescent="0.25">
      <c r="A13" s="25"/>
      <c r="B13" s="27"/>
      <c r="C13" s="27" t="s">
        <v>23</v>
      </c>
      <c r="D13" s="5" t="s">
        <v>3</v>
      </c>
      <c r="E13" s="5" t="s">
        <v>4</v>
      </c>
      <c r="F13" s="5" t="s">
        <v>5</v>
      </c>
      <c r="G13" s="5" t="s">
        <v>6</v>
      </c>
      <c r="H13" s="6" t="s">
        <v>8</v>
      </c>
      <c r="I13" s="5" t="s">
        <v>3</v>
      </c>
      <c r="J13" s="5" t="s">
        <v>4</v>
      </c>
      <c r="K13" s="5" t="s">
        <v>5</v>
      </c>
      <c r="L13" s="5" t="s">
        <v>6</v>
      </c>
      <c r="M13" s="6" t="s">
        <v>7</v>
      </c>
    </row>
    <row r="14" spans="1:13" ht="14.4" thickBot="1" x14ac:dyDescent="0.3">
      <c r="A14" s="25"/>
      <c r="B14" s="27"/>
      <c r="C14" s="28"/>
      <c r="D14" s="12">
        <f>G2/SUM($G$2,$B$2,$C$2,$D$2,$F$2)</f>
        <v>0.5249895002099958</v>
      </c>
      <c r="E14" s="3">
        <f>B2/SUM($G$2,$B$2,$C$2,$D$2,$F$2)</f>
        <v>0.15807433851322972</v>
      </c>
      <c r="F14" s="3">
        <f>C2/SUM($G$2,$B$2,$C$2,$D$2,$F$2)</f>
        <v>0.12646997060058798</v>
      </c>
      <c r="G14" s="3">
        <f>D2/SUM($G$2,$B$2,$C$2,$D$2,$F$2)</f>
        <v>9.3395632087358238E-2</v>
      </c>
      <c r="H14" s="8">
        <f>F2/SUM($G$2,$B$2,$C$2,$D$2,$F$2)</f>
        <v>9.707055858882821E-2</v>
      </c>
      <c r="I14" s="3">
        <f>G2/SUM($G$2,$B$2,$C$2,$D$2,$E$2)</f>
        <v>0.52653748946925016</v>
      </c>
      <c r="J14" s="3">
        <f>B2/SUM($G$2,$B$2,$C$2,$D$2,$E$2)</f>
        <v>0.15854043807919121</v>
      </c>
      <c r="K14" s="3">
        <f>C2/SUM($G$2,$B$2,$C$2,$D$2,$E$2)</f>
        <v>0.12684288121314236</v>
      </c>
      <c r="L14" s="3">
        <f>D2/SUM($G$2,$B$2,$C$2,$D$2,$E$2)</f>
        <v>9.3671019376579595E-2</v>
      </c>
      <c r="M14" s="8">
        <f>E2/SUM($G$2,$B$2,$C$2,$D$2,$E$2)</f>
        <v>9.440817186183656E-2</v>
      </c>
    </row>
    <row r="15" spans="1:13" x14ac:dyDescent="0.25">
      <c r="A15" s="25"/>
      <c r="B15" s="27"/>
      <c r="C15" s="9" t="s">
        <v>11</v>
      </c>
      <c r="D15" s="24" t="s">
        <v>18</v>
      </c>
      <c r="E15" s="24"/>
      <c r="F15" s="24"/>
      <c r="G15" s="24"/>
      <c r="H15" s="24"/>
      <c r="I15" s="25"/>
      <c r="M15" s="6"/>
    </row>
    <row r="16" spans="1:13" x14ac:dyDescent="0.25">
      <c r="A16" s="25"/>
      <c r="B16" s="27"/>
      <c r="C16" s="27" t="s">
        <v>23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6" t="s">
        <v>8</v>
      </c>
      <c r="M16" s="6"/>
    </row>
    <row r="17" spans="1:13" ht="14.4" thickBot="1" x14ac:dyDescent="0.3">
      <c r="A17" s="25"/>
      <c r="B17" s="28"/>
      <c r="C17" s="28"/>
      <c r="D17" s="3">
        <f>G2/SUM($G$2,$B$2,$C$2,$D$2,$E$2,$F$2)</f>
        <v>0.47982342497960745</v>
      </c>
      <c r="E17" s="3">
        <f>B2/SUM($G$2,$B$2,$C$2,$D$2,$E$2,$F$2)</f>
        <v>0.14447483326135979</v>
      </c>
      <c r="F17" s="3">
        <f>C2/SUM($G$2,$B$2,$C$2,$D$2,$E$2,$F$2)</f>
        <v>0.11558946307758744</v>
      </c>
      <c r="G17" s="3">
        <f>D2/SUM($G$2,$B$2,$C$2,$D$2,$E$2,$F$2)</f>
        <v>8.5360587303872165E-2</v>
      </c>
      <c r="H17" s="3">
        <f>E2/SUM($G$2,$B$2,$C$2,$D$2,$E$2,$F$2)</f>
        <v>8.6032340098843613E-2</v>
      </c>
      <c r="I17" s="8">
        <f>F2/SUM($G$2,$B$2,$C$2,$D$2,$E$2,$F$2)</f>
        <v>8.8719351278729403E-2</v>
      </c>
      <c r="J17" s="4"/>
      <c r="K17" s="4"/>
      <c r="L17" s="4"/>
      <c r="M17" s="7"/>
    </row>
    <row r="18" spans="1:13" x14ac:dyDescent="0.25">
      <c r="A18" s="25"/>
      <c r="B18" s="26" t="s">
        <v>14</v>
      </c>
      <c r="C18" s="9" t="s">
        <v>11</v>
      </c>
      <c r="D18" s="24" t="s">
        <v>3</v>
      </c>
      <c r="E18" s="24"/>
      <c r="F18" s="24"/>
      <c r="G18" s="25"/>
      <c r="H18" s="24" t="s">
        <v>4</v>
      </c>
      <c r="I18" s="24"/>
      <c r="J18" s="24"/>
      <c r="K18" s="25"/>
      <c r="L18" s="5"/>
      <c r="M18" s="6"/>
    </row>
    <row r="19" spans="1:13" x14ac:dyDescent="0.25">
      <c r="A19" s="25"/>
      <c r="B19" s="27"/>
      <c r="C19" s="27" t="s">
        <v>23</v>
      </c>
      <c r="D19" s="5" t="s">
        <v>4</v>
      </c>
      <c r="E19" s="5" t="s">
        <v>5</v>
      </c>
      <c r="F19" s="5" t="s">
        <v>6</v>
      </c>
      <c r="G19" s="6" t="s">
        <v>8</v>
      </c>
      <c r="H19" s="5" t="s">
        <v>3</v>
      </c>
      <c r="I19" s="5" t="s">
        <v>5</v>
      </c>
      <c r="J19" s="5" t="s">
        <v>6</v>
      </c>
      <c r="K19" s="6" t="s">
        <v>8</v>
      </c>
      <c r="L19" s="5"/>
      <c r="M19" s="6"/>
    </row>
    <row r="20" spans="1:13" ht="14.4" thickBot="1" x14ac:dyDescent="0.3">
      <c r="A20" s="25"/>
      <c r="B20" s="27"/>
      <c r="C20" s="28"/>
      <c r="D20" s="12">
        <f>B2/SUM($B$2,$C$2,$D$2,$F$2)</f>
        <v>0.33278072502210432</v>
      </c>
      <c r="E20" s="3">
        <f>C2/SUM($B$2,$C$2,$D$2,$F$2)</f>
        <v>0.2662466843501326</v>
      </c>
      <c r="F20" s="3">
        <f>D2/SUM($B$2,$C$2,$D$2,$F$2)</f>
        <v>0.19661803713527851</v>
      </c>
      <c r="G20" s="8">
        <f>F2/SUM($B$2,$C$2,$D$2,$F$2)</f>
        <v>0.20435455349248449</v>
      </c>
      <c r="H20" s="3">
        <f>G2/SUM($G$2,$C$2,$D$2,$F$2)</f>
        <v>0.62355802207395394</v>
      </c>
      <c r="I20" s="3">
        <f>C2/SUM($G$2,$C$2,$D$2,$F$2)</f>
        <v>0.15021512751761551</v>
      </c>
      <c r="J20" s="3">
        <f>D2/SUM($G$2,$C$2,$D$2,$F$2)</f>
        <v>0.11093097212695641</v>
      </c>
      <c r="K20" s="8">
        <f>F2/SUM($G$2,$C$2,$D$2,$F$2)</f>
        <v>0.11529587828147408</v>
      </c>
      <c r="L20" s="5"/>
      <c r="M20" s="15"/>
    </row>
    <row r="21" spans="1:13" x14ac:dyDescent="0.25">
      <c r="A21" s="25"/>
      <c r="B21" s="27"/>
      <c r="C21" s="9" t="s">
        <v>11</v>
      </c>
      <c r="D21" s="24" t="s">
        <v>5</v>
      </c>
      <c r="E21" s="24"/>
      <c r="F21" s="24"/>
      <c r="G21" s="25"/>
      <c r="H21" s="24" t="s">
        <v>6</v>
      </c>
      <c r="I21" s="24"/>
      <c r="J21" s="24"/>
      <c r="K21" s="25"/>
      <c r="L21" s="18"/>
      <c r="M21" s="6"/>
    </row>
    <row r="22" spans="1:13" x14ac:dyDescent="0.25">
      <c r="A22" s="25"/>
      <c r="B22" s="27"/>
      <c r="C22" s="27" t="s">
        <v>23</v>
      </c>
      <c r="D22" s="5" t="s">
        <v>3</v>
      </c>
      <c r="E22" s="5" t="s">
        <v>4</v>
      </c>
      <c r="F22" s="5" t="s">
        <v>6</v>
      </c>
      <c r="G22" s="6" t="s">
        <v>8</v>
      </c>
      <c r="H22" s="5" t="s">
        <v>3</v>
      </c>
      <c r="I22" s="5" t="s">
        <v>4</v>
      </c>
      <c r="J22" s="5" t="s">
        <v>5</v>
      </c>
      <c r="K22" s="6" t="s">
        <v>8</v>
      </c>
      <c r="L22" s="5"/>
      <c r="M22" s="6"/>
    </row>
    <row r="23" spans="1:13" ht="14.4" thickBot="1" x14ac:dyDescent="0.3">
      <c r="A23" s="25"/>
      <c r="B23" s="27"/>
      <c r="C23" s="28"/>
      <c r="D23" s="12">
        <f>G2/SUM($G$2,$B$2,$D$2,$F$2)</f>
        <v>0.60099765610914113</v>
      </c>
      <c r="E23" s="3">
        <f>B2/SUM($G$2,$B$2,$D$2,$F$2)</f>
        <v>0.18096039425446239</v>
      </c>
      <c r="F23" s="3">
        <f>D2/SUM($G$2,$B$2,$D$2,$F$2)</f>
        <v>0.1069174830218162</v>
      </c>
      <c r="G23" s="8">
        <f>F2/SUM($G$2,$B$2,$D$2,$F$2)</f>
        <v>0.11112446661458018</v>
      </c>
      <c r="H23" s="3">
        <f>G2/SUM($G$2,$B$2,$C$2,$F$2)</f>
        <v>0.57907232613353399</v>
      </c>
      <c r="I23" s="3">
        <f>B2/SUM($G$2,$B$2,$C$2,$F$2)</f>
        <v>0.17435867739880709</v>
      </c>
      <c r="J23" s="3">
        <f>C2/SUM($G$2,$B$2,$C$2,$F$2)</f>
        <v>0.13949852336556834</v>
      </c>
      <c r="K23" s="8">
        <f>F2/SUM($G$2,$B$2,$C$2,$F$2)</f>
        <v>0.10707047310209043</v>
      </c>
      <c r="L23" s="4"/>
      <c r="M23" s="7"/>
    </row>
    <row r="24" spans="1:13" x14ac:dyDescent="0.25">
      <c r="A24" s="25"/>
      <c r="B24" s="27"/>
      <c r="C24" s="9" t="s">
        <v>11</v>
      </c>
      <c r="D24" s="24" t="s">
        <v>8</v>
      </c>
      <c r="E24" s="24"/>
      <c r="F24" s="24"/>
      <c r="G24" s="25"/>
      <c r="H24" s="24" t="s">
        <v>18</v>
      </c>
      <c r="I24" s="24"/>
      <c r="J24" s="24"/>
      <c r="K24" s="24"/>
      <c r="L24" s="25"/>
      <c r="M24" s="6"/>
    </row>
    <row r="25" spans="1:13" x14ac:dyDescent="0.25">
      <c r="A25" s="25"/>
      <c r="B25" s="27"/>
      <c r="C25" s="27" t="s">
        <v>23</v>
      </c>
      <c r="D25" s="5" t="s">
        <v>3</v>
      </c>
      <c r="E25" s="5" t="s">
        <v>4</v>
      </c>
      <c r="F25" s="5" t="s">
        <v>5</v>
      </c>
      <c r="G25" s="6" t="s">
        <v>6</v>
      </c>
      <c r="H25" s="5" t="s">
        <v>3</v>
      </c>
      <c r="I25" s="5" t="s">
        <v>4</v>
      </c>
      <c r="J25" s="5" t="s">
        <v>5</v>
      </c>
      <c r="K25" s="5" t="s">
        <v>6</v>
      </c>
      <c r="L25" s="6" t="s">
        <v>8</v>
      </c>
      <c r="M25" s="6"/>
    </row>
    <row r="26" spans="1:13" ht="14.4" thickBot="1" x14ac:dyDescent="0.3">
      <c r="A26" s="25"/>
      <c r="B26" s="28"/>
      <c r="C26" s="28"/>
      <c r="D26" s="3">
        <f>G2/SUM($G$2,$B$2,$C$2,$D$2)</f>
        <v>0.58142915285772423</v>
      </c>
      <c r="E26" s="3">
        <f>B2/SUM($G$2,$B$2,$C$2,$D$2)</f>
        <v>0.17506831792546076</v>
      </c>
      <c r="F26" s="3">
        <f>C2/SUM($G$2,$B$2,$C$2,$D$2)</f>
        <v>0.14006628292342577</v>
      </c>
      <c r="G26" s="8">
        <f>D2/SUM($G$2,$B$2,$C$2,$D$2)</f>
        <v>0.10343624629338914</v>
      </c>
      <c r="H26" s="3">
        <f>G2/SUM($G$2,$B$2,$C$2,$D$2,$F$2)</f>
        <v>0.5249895002099958</v>
      </c>
      <c r="I26" s="3">
        <f>B2/SUM($G$2,$B$2,$C$2,$D$2,$F$2)</f>
        <v>0.15807433851322972</v>
      </c>
      <c r="J26" s="3">
        <f>C2/SUM($G$2,$B$2,$C$2,$D$2,$F$2)</f>
        <v>0.12646997060058798</v>
      </c>
      <c r="K26" s="3">
        <f>D2/SUM($G$2,$B$2,$C$2,$D$2,$F$2)</f>
        <v>9.3395632087358238E-2</v>
      </c>
      <c r="L26" s="8">
        <f>F2/SUM($G$2,$B$2,$C$2,$D$2,$F$2)</f>
        <v>9.707055858882821E-2</v>
      </c>
      <c r="M26" s="7"/>
    </row>
    <row r="27" spans="1:13" x14ac:dyDescent="0.25">
      <c r="A27" s="25"/>
      <c r="B27" s="27" t="s">
        <v>15</v>
      </c>
      <c r="C27" s="9" t="s">
        <v>11</v>
      </c>
      <c r="D27" s="24" t="s">
        <v>3</v>
      </c>
      <c r="E27" s="24"/>
      <c r="F27" s="25"/>
      <c r="G27" s="24" t="s">
        <v>4</v>
      </c>
      <c r="H27" s="24"/>
      <c r="I27" s="25"/>
      <c r="J27" s="24" t="s">
        <v>25</v>
      </c>
      <c r="K27" s="24"/>
      <c r="L27" s="24"/>
      <c r="M27" s="25"/>
    </row>
    <row r="28" spans="1:13" x14ac:dyDescent="0.25">
      <c r="A28" s="25"/>
      <c r="B28" s="27"/>
      <c r="C28" s="27" t="s">
        <v>23</v>
      </c>
      <c r="D28" s="5" t="s">
        <v>4</v>
      </c>
      <c r="E28" s="5" t="s">
        <v>6</v>
      </c>
      <c r="F28" s="6" t="s">
        <v>7</v>
      </c>
      <c r="G28" s="5" t="s">
        <v>3</v>
      </c>
      <c r="H28" s="5" t="s">
        <v>6</v>
      </c>
      <c r="I28" s="6" t="s">
        <v>7</v>
      </c>
      <c r="J28" s="5" t="s">
        <v>3</v>
      </c>
      <c r="K28" s="5" t="s">
        <v>4</v>
      </c>
      <c r="L28" s="5" t="s">
        <v>6</v>
      </c>
      <c r="M28" s="6" t="s">
        <v>7</v>
      </c>
    </row>
    <row r="29" spans="1:13" ht="14.4" thickBot="1" x14ac:dyDescent="0.3">
      <c r="A29" s="25"/>
      <c r="B29" s="27"/>
      <c r="C29" s="28"/>
      <c r="D29" s="12">
        <f>B2/SUM($B$2,$D$2,$E$2)</f>
        <v>0.45739024760747382</v>
      </c>
      <c r="E29" s="3">
        <f>D2/SUM($B$2,$D$2,$E$2)</f>
        <v>0.27024153121677047</v>
      </c>
      <c r="F29" s="8">
        <f>E2/SUM($B$2,$D$2,$E$2)</f>
        <v>0.27236822117575576</v>
      </c>
      <c r="G29" s="3">
        <f>G2/SUM($G$2,$D$2,$E$2)</f>
        <v>0.73681108163866782</v>
      </c>
      <c r="H29" s="3">
        <f>D2/SUM($G$2,$D$2,$E$2)</f>
        <v>0.13107869142351899</v>
      </c>
      <c r="I29" s="8">
        <f>E2/SUM($G$2,$D$2,$E$2)</f>
        <v>0.13211022693781313</v>
      </c>
      <c r="J29" s="3">
        <f>G2/SUM($G$2,$B$2,$D$2,$E$2)</f>
        <v>0.60302719652656334</v>
      </c>
      <c r="K29" s="3">
        <f>B2/SUM($G$2,$B$2,$D$2,$E$2)</f>
        <v>0.1815714888741482</v>
      </c>
      <c r="L29" s="3">
        <f>D2/SUM($G$2,$B$2,$D$2,$E$2)</f>
        <v>0.1072785382620756</v>
      </c>
      <c r="M29" s="8">
        <f>E2/SUM($G$2,$B$2,$D$2,$E$2)</f>
        <v>0.1081227763372128</v>
      </c>
    </row>
    <row r="30" spans="1:13" x14ac:dyDescent="0.25">
      <c r="A30" s="25"/>
      <c r="B30" s="27"/>
      <c r="C30" s="9" t="s">
        <v>11</v>
      </c>
      <c r="D30" s="24" t="s">
        <v>6</v>
      </c>
      <c r="E30" s="24"/>
      <c r="F30" s="25"/>
      <c r="G30" s="24" t="s">
        <v>7</v>
      </c>
      <c r="H30" s="24"/>
      <c r="I30" s="25"/>
      <c r="J30" s="24"/>
      <c r="K30" s="24"/>
      <c r="L30" s="24"/>
      <c r="M30" s="25"/>
    </row>
    <row r="31" spans="1:13" x14ac:dyDescent="0.25">
      <c r="A31" s="25"/>
      <c r="B31" s="27"/>
      <c r="C31" s="27" t="s">
        <v>23</v>
      </c>
      <c r="D31" s="5" t="s">
        <v>3</v>
      </c>
      <c r="E31" s="5" t="s">
        <v>4</v>
      </c>
      <c r="F31" s="6" t="s">
        <v>7</v>
      </c>
      <c r="G31" s="5" t="s">
        <v>3</v>
      </c>
      <c r="H31" s="5" t="s">
        <v>4</v>
      </c>
      <c r="I31" s="6" t="s">
        <v>6</v>
      </c>
      <c r="J31" s="5"/>
      <c r="K31" s="5"/>
      <c r="L31" s="5"/>
      <c r="M31" s="6"/>
    </row>
    <row r="32" spans="1:13" ht="14.4" thickBot="1" x14ac:dyDescent="0.3">
      <c r="A32" s="29"/>
      <c r="B32" s="28"/>
      <c r="C32" s="28"/>
      <c r="D32" s="3">
        <f>G2/SUM($G$2,$B$2,$E$2)</f>
        <v>0.67549310997027823</v>
      </c>
      <c r="E32" s="3">
        <f>B2/SUM($G$2,$B$2,$E$2)</f>
        <v>0.20339097541205076</v>
      </c>
      <c r="F32" s="8">
        <f>E2/SUM($G$2,$B$2,$E$2)</f>
        <v>0.12111591461767088</v>
      </c>
      <c r="G32" s="3">
        <f>G2/SUM($G$2,$B$2,$D$2)</f>
        <v>0.67613252197430695</v>
      </c>
      <c r="H32" s="3">
        <f>B2/SUM($G$2,$B$2,$D$2)</f>
        <v>0.2035835023664638</v>
      </c>
      <c r="I32" s="8">
        <f>D2/SUM($G$2,$B$2,$D$2)</f>
        <v>0.1202839756592292</v>
      </c>
      <c r="J32" s="3"/>
      <c r="K32" s="3"/>
      <c r="L32" s="3"/>
      <c r="M32" s="8"/>
    </row>
  </sheetData>
  <mergeCells count="38">
    <mergeCell ref="A3:A32"/>
    <mergeCell ref="D27:F27"/>
    <mergeCell ref="G27:I27"/>
    <mergeCell ref="D24:G24"/>
    <mergeCell ref="D21:G21"/>
    <mergeCell ref="C19:C20"/>
    <mergeCell ref="H18:K18"/>
    <mergeCell ref="D18:G18"/>
    <mergeCell ref="D12:H12"/>
    <mergeCell ref="I12:M12"/>
    <mergeCell ref="C10:C11"/>
    <mergeCell ref="C13:C14"/>
    <mergeCell ref="I9:M9"/>
    <mergeCell ref="C4:C5"/>
    <mergeCell ref="D3:E3"/>
    <mergeCell ref="F3:G3"/>
    <mergeCell ref="J3:L3"/>
    <mergeCell ref="C16:C17"/>
    <mergeCell ref="B6:B17"/>
    <mergeCell ref="D15:I15"/>
    <mergeCell ref="H21:K21"/>
    <mergeCell ref="H3:I3"/>
    <mergeCell ref="B3:B5"/>
    <mergeCell ref="C7:C8"/>
    <mergeCell ref="D6:H6"/>
    <mergeCell ref="I6:M6"/>
    <mergeCell ref="D9:H9"/>
    <mergeCell ref="D30:F30"/>
    <mergeCell ref="G30:I30"/>
    <mergeCell ref="J30:M30"/>
    <mergeCell ref="B18:B26"/>
    <mergeCell ref="B27:B32"/>
    <mergeCell ref="H24:L24"/>
    <mergeCell ref="J27:M27"/>
    <mergeCell ref="C31:C32"/>
    <mergeCell ref="C28:C29"/>
    <mergeCell ref="C25:C26"/>
    <mergeCell ref="C22:C2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46B9-5D5E-4CCE-863B-EF4C8F9A0BCE}">
  <dimension ref="A1:P44"/>
  <sheetViews>
    <sheetView topLeftCell="A21" zoomScale="130" zoomScaleNormal="130" workbookViewId="0">
      <selection activeCell="D18" sqref="D18:I18"/>
    </sheetView>
  </sheetViews>
  <sheetFormatPr defaultRowHeight="13.8" x14ac:dyDescent="0.25"/>
  <cols>
    <col min="1" max="1" width="8.88671875" style="1"/>
    <col min="2" max="2" width="11.6640625" style="1" bestFit="1" customWidth="1"/>
    <col min="3" max="16384" width="8.88671875" style="1"/>
  </cols>
  <sheetData>
    <row r="1" spans="1:16" hidden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10</v>
      </c>
      <c r="P1" s="6"/>
    </row>
    <row r="2" spans="1:16" hidden="1" x14ac:dyDescent="0.25">
      <c r="A2" s="1">
        <v>23.18</v>
      </c>
      <c r="B2" s="1">
        <v>30.11</v>
      </c>
      <c r="C2" s="1">
        <v>24.09</v>
      </c>
      <c r="D2" s="1">
        <v>17.79</v>
      </c>
      <c r="E2" s="1">
        <v>17.93</v>
      </c>
      <c r="F2" s="1">
        <v>18.489999999999998</v>
      </c>
      <c r="G2" s="1">
        <v>100</v>
      </c>
      <c r="P2" s="6"/>
    </row>
    <row r="3" spans="1:16" x14ac:dyDescent="0.25">
      <c r="A3" s="25" t="s">
        <v>17</v>
      </c>
      <c r="B3" s="27" t="s">
        <v>12</v>
      </c>
      <c r="C3" s="9" t="s">
        <v>11</v>
      </c>
      <c r="D3" s="24" t="s">
        <v>3</v>
      </c>
      <c r="E3" s="24"/>
      <c r="F3" s="25"/>
      <c r="G3" s="24" t="s">
        <v>4</v>
      </c>
      <c r="H3" s="24"/>
      <c r="I3" s="25"/>
      <c r="J3" s="24" t="s">
        <v>5</v>
      </c>
      <c r="K3" s="24"/>
      <c r="L3" s="25"/>
      <c r="P3" s="6"/>
    </row>
    <row r="4" spans="1:16" x14ac:dyDescent="0.25">
      <c r="A4" s="25"/>
      <c r="B4" s="27"/>
      <c r="C4" s="27" t="s">
        <v>23</v>
      </c>
      <c r="D4" s="1" t="s">
        <v>4</v>
      </c>
      <c r="E4" s="1" t="s">
        <v>5</v>
      </c>
      <c r="F4" s="6" t="s">
        <v>10</v>
      </c>
      <c r="G4" s="1" t="s">
        <v>3</v>
      </c>
      <c r="H4" s="1" t="s">
        <v>5</v>
      </c>
      <c r="I4" s="6" t="s">
        <v>10</v>
      </c>
      <c r="J4" s="1" t="s">
        <v>3</v>
      </c>
      <c r="K4" s="1" t="s">
        <v>4</v>
      </c>
      <c r="L4" s="6" t="s">
        <v>10</v>
      </c>
      <c r="P4" s="6"/>
    </row>
    <row r="5" spans="1:16" ht="14.4" thickBot="1" x14ac:dyDescent="0.3">
      <c r="A5" s="25"/>
      <c r="B5" s="27"/>
      <c r="C5" s="28"/>
      <c r="D5" s="3">
        <f>B2/SUM($B$2,$C$2,$G$2)</f>
        <v>0.19526588845654994</v>
      </c>
      <c r="E5" s="3">
        <f>C2/SUM($B$2,$C$2,$G$2)</f>
        <v>0.15622568093385214</v>
      </c>
      <c r="F5" s="8">
        <f>G2/SUM($B$2,$C$2,$G$2)</f>
        <v>0.64850843060959795</v>
      </c>
      <c r="G5" s="3">
        <f>A2/SUM($A$2,$C$2,$G$2)</f>
        <v>0.15739797650573778</v>
      </c>
      <c r="H5" s="3">
        <f>C2/SUM($A$2,$C$2,$G$2)</f>
        <v>0.16357710327969038</v>
      </c>
      <c r="I5" s="8">
        <f>G2/SUM($A$2,$C$2,$G$2)</f>
        <v>0.67902492021457195</v>
      </c>
      <c r="J5" s="3">
        <f>A2/SUM($A$2,$B$2,$G$2)</f>
        <v>0.1512166481831822</v>
      </c>
      <c r="K5" s="3">
        <f>B2/SUM($A$2,$B$2,$G$2)</f>
        <v>0.19642507665209732</v>
      </c>
      <c r="L5" s="8">
        <f>G2/SUM($A$2,$B$2,$G$2)</f>
        <v>0.65235827516472045</v>
      </c>
      <c r="M5" s="4"/>
      <c r="N5" s="14"/>
      <c r="O5" s="4"/>
      <c r="P5" s="7"/>
    </row>
    <row r="6" spans="1:16" x14ac:dyDescent="0.25">
      <c r="A6" s="25"/>
      <c r="B6" s="27"/>
      <c r="C6" s="9" t="s">
        <v>11</v>
      </c>
      <c r="D6" s="24" t="s">
        <v>10</v>
      </c>
      <c r="E6" s="24"/>
      <c r="F6" s="25"/>
      <c r="G6" s="24" t="s">
        <v>16</v>
      </c>
      <c r="H6" s="24"/>
      <c r="I6" s="24"/>
      <c r="J6" s="25"/>
      <c r="P6" s="6"/>
    </row>
    <row r="7" spans="1:16" x14ac:dyDescent="0.25">
      <c r="A7" s="25"/>
      <c r="B7" s="27"/>
      <c r="C7" s="27" t="s">
        <v>23</v>
      </c>
      <c r="D7" s="1" t="s">
        <v>3</v>
      </c>
      <c r="E7" s="1" t="s">
        <v>4</v>
      </c>
      <c r="F7" s="6" t="s">
        <v>5</v>
      </c>
      <c r="G7" s="1" t="s">
        <v>3</v>
      </c>
      <c r="H7" s="1" t="s">
        <v>4</v>
      </c>
      <c r="I7" s="1" t="s">
        <v>5</v>
      </c>
      <c r="J7" s="6" t="s">
        <v>10</v>
      </c>
      <c r="P7" s="6"/>
    </row>
    <row r="8" spans="1:16" ht="14.4" thickBot="1" x14ac:dyDescent="0.3">
      <c r="A8" s="25"/>
      <c r="B8" s="28"/>
      <c r="C8" s="28"/>
      <c r="D8" s="3">
        <f>A2/SUM($A$2,$B$2,$C$2)</f>
        <v>0.29956060997673817</v>
      </c>
      <c r="E8" s="3">
        <f t="shared" ref="E8:F8" si="0">B2/SUM($A$2,$B$2,$C$2)</f>
        <v>0.38911863530628071</v>
      </c>
      <c r="F8" s="8">
        <f t="shared" si="0"/>
        <v>0.31132075471698117</v>
      </c>
      <c r="G8" s="3">
        <f>A2/SUM($A$2,$B$2,$C$2,$G$2)</f>
        <v>0.13067989626789941</v>
      </c>
      <c r="H8" s="3">
        <f t="shared" ref="H8:I8" si="1">B2/SUM($A$2,$B$2,$C$2,$G$2)</f>
        <v>0.16974856240838876</v>
      </c>
      <c r="I8" s="3">
        <f t="shared" si="1"/>
        <v>0.13581012515503441</v>
      </c>
      <c r="J8" s="8">
        <f>G2/SUM($A$2,$B$2,$C$2,$G$2)</f>
        <v>0.56376141616867748</v>
      </c>
      <c r="K8" s="4"/>
      <c r="L8" s="4"/>
      <c r="M8" s="4"/>
      <c r="N8" s="4"/>
      <c r="O8" s="4"/>
      <c r="P8" s="7"/>
    </row>
    <row r="9" spans="1:16" x14ac:dyDescent="0.25">
      <c r="A9" s="25"/>
      <c r="B9" s="27" t="s">
        <v>13</v>
      </c>
      <c r="C9" s="9" t="s">
        <v>11</v>
      </c>
      <c r="D9" s="24" t="s">
        <v>3</v>
      </c>
      <c r="E9" s="24"/>
      <c r="F9" s="24"/>
      <c r="G9" s="24"/>
      <c r="H9" s="24"/>
      <c r="I9" s="25"/>
      <c r="J9" s="24" t="s">
        <v>4</v>
      </c>
      <c r="K9" s="24"/>
      <c r="L9" s="24"/>
      <c r="M9" s="24"/>
      <c r="N9" s="24"/>
      <c r="O9" s="25"/>
      <c r="P9" s="6"/>
    </row>
    <row r="10" spans="1:16" x14ac:dyDescent="0.25">
      <c r="A10" s="25"/>
      <c r="B10" s="27"/>
      <c r="C10" s="27" t="s">
        <v>23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6" t="s">
        <v>10</v>
      </c>
      <c r="J10" s="1" t="s">
        <v>3</v>
      </c>
      <c r="K10" s="1" t="s">
        <v>5</v>
      </c>
      <c r="L10" s="1" t="s">
        <v>6</v>
      </c>
      <c r="M10" s="1" t="s">
        <v>7</v>
      </c>
      <c r="N10" s="1" t="s">
        <v>8</v>
      </c>
      <c r="O10" s="6" t="s">
        <v>10</v>
      </c>
      <c r="P10" s="6"/>
    </row>
    <row r="11" spans="1:16" ht="14.4" thickBot="1" x14ac:dyDescent="0.3">
      <c r="A11" s="25"/>
      <c r="B11" s="27"/>
      <c r="C11" s="28"/>
      <c r="D11" s="12">
        <f>B2/SUM($B$2:$G$2)</f>
        <v>0.14447483326135979</v>
      </c>
      <c r="E11" s="3">
        <f t="shared" ref="E11:I11" si="2">C2/SUM($B$2:$G$2)</f>
        <v>0.11558946307758744</v>
      </c>
      <c r="F11" s="3">
        <f t="shared" si="2"/>
        <v>8.5360587303872165E-2</v>
      </c>
      <c r="G11" s="3">
        <f t="shared" si="2"/>
        <v>8.6032340098843613E-2</v>
      </c>
      <c r="H11" s="3">
        <f t="shared" si="2"/>
        <v>8.8719351278729403E-2</v>
      </c>
      <c r="I11" s="8">
        <f t="shared" si="2"/>
        <v>0.47982342497960745</v>
      </c>
      <c r="J11" s="3">
        <f>A2/SUM($A$2,$C$2:$G$2)</f>
        <v>0.11504864006352987</v>
      </c>
      <c r="K11" s="3">
        <f>C2/SUM($A$2,$C$2:$G$2)</f>
        <v>0.11956521739130434</v>
      </c>
      <c r="L11" s="3">
        <f>D2/SUM($A$2,$C$2:$G$2)</f>
        <v>8.8296605122096472E-2</v>
      </c>
      <c r="M11" s="3">
        <f>E2/SUM($A$2,$C$2:$G$2)</f>
        <v>8.8991463172523322E-2</v>
      </c>
      <c r="N11" s="3">
        <f>F2/SUM($A$2,$C$2:$G$2)</f>
        <v>9.1770895374230679E-2</v>
      </c>
      <c r="O11" s="8">
        <f>G2/SUM($A$2,$C$2:$G$2)</f>
        <v>0.49632717887631522</v>
      </c>
      <c r="P11" s="6"/>
    </row>
    <row r="12" spans="1:16" x14ac:dyDescent="0.25">
      <c r="A12" s="25"/>
      <c r="B12" s="27"/>
      <c r="C12" s="9" t="s">
        <v>11</v>
      </c>
      <c r="D12" s="24" t="s">
        <v>5</v>
      </c>
      <c r="E12" s="24"/>
      <c r="F12" s="24"/>
      <c r="G12" s="24"/>
      <c r="H12" s="24"/>
      <c r="I12" s="25"/>
      <c r="J12" s="24" t="s">
        <v>6</v>
      </c>
      <c r="K12" s="24"/>
      <c r="L12" s="24"/>
      <c r="M12" s="24"/>
      <c r="N12" s="24"/>
      <c r="O12" s="25"/>
      <c r="P12" s="9"/>
    </row>
    <row r="13" spans="1:16" x14ac:dyDescent="0.25">
      <c r="A13" s="25"/>
      <c r="B13" s="27"/>
      <c r="C13" s="27" t="s">
        <v>23</v>
      </c>
      <c r="D13" s="1" t="s">
        <v>3</v>
      </c>
      <c r="E13" s="1" t="s">
        <v>4</v>
      </c>
      <c r="F13" s="1" t="s">
        <v>6</v>
      </c>
      <c r="G13" s="1" t="s">
        <v>7</v>
      </c>
      <c r="H13" s="1" t="s">
        <v>8</v>
      </c>
      <c r="I13" s="6" t="s">
        <v>10</v>
      </c>
      <c r="J13" s="1" t="s">
        <v>3</v>
      </c>
      <c r="K13" s="1" t="s">
        <v>4</v>
      </c>
      <c r="L13" s="1" t="s">
        <v>5</v>
      </c>
      <c r="M13" s="1" t="s">
        <v>7</v>
      </c>
      <c r="N13" s="1" t="s">
        <v>8</v>
      </c>
      <c r="O13" s="6" t="s">
        <v>10</v>
      </c>
      <c r="P13" s="6"/>
    </row>
    <row r="14" spans="1:16" ht="14.4" thickBot="1" x14ac:dyDescent="0.3">
      <c r="A14" s="25"/>
      <c r="B14" s="27"/>
      <c r="C14" s="28"/>
      <c r="D14" s="16">
        <f>A2/SUM($A$2:$B$2,$D$2:$G$2)</f>
        <v>0.11171084337349398</v>
      </c>
      <c r="E14" s="14">
        <f t="shared" ref="E14" si="3">B2/SUM($A$2:$B$2,$D$2:$G$2)</f>
        <v>0.14510843373493976</v>
      </c>
      <c r="F14" s="14">
        <f>D2/SUM($A$2:$B$2,$D$2:$G$2)</f>
        <v>8.5734939759036136E-2</v>
      </c>
      <c r="G14" s="14">
        <f>E2/SUM($A$2:$B$2,$D$2:$G$2)</f>
        <v>8.6409638554216864E-2</v>
      </c>
      <c r="H14" s="14">
        <f>F2/SUM($A$2:$B$2,$D$2:$G$2)</f>
        <v>8.9108433734939749E-2</v>
      </c>
      <c r="I14" s="13">
        <f>G2/SUM($A$2:$B$2,$D$2:$G$2)</f>
        <v>0.48192771084337349</v>
      </c>
      <c r="J14" s="14">
        <f>A2/SUM($A$2:$C$2,$E$2:$G$2)</f>
        <v>0.10841908325537886</v>
      </c>
      <c r="K14" s="14">
        <f t="shared" ref="K14:L14" si="4">B2/SUM($A$2:$C$2,$E$2:$G$2)</f>
        <v>0.14083255378858744</v>
      </c>
      <c r="L14" s="14">
        <f t="shared" si="4"/>
        <v>0.11267539756782038</v>
      </c>
      <c r="M14" s="14">
        <f>E2/SUM($A$2:$C$2,$E$2:$G$2)</f>
        <v>8.3863423760523845E-2</v>
      </c>
      <c r="N14" s="14">
        <f>F2/SUM($A$2:$C$2,$E$2:$G$2)</f>
        <v>8.6482694106641708E-2</v>
      </c>
      <c r="O14" s="13">
        <f>G2/SUM($A$2:$C$2,$E$2:$G$2)</f>
        <v>0.46772684752104771</v>
      </c>
      <c r="P14" s="6"/>
    </row>
    <row r="15" spans="1:16" x14ac:dyDescent="0.25">
      <c r="A15" s="25"/>
      <c r="B15" s="27"/>
      <c r="C15" s="9" t="s">
        <v>11</v>
      </c>
      <c r="D15" s="24" t="s">
        <v>7</v>
      </c>
      <c r="E15" s="24"/>
      <c r="F15" s="24"/>
      <c r="G15" s="24"/>
      <c r="H15" s="24"/>
      <c r="I15" s="25"/>
      <c r="J15" s="24" t="s">
        <v>8</v>
      </c>
      <c r="K15" s="24"/>
      <c r="L15" s="24"/>
      <c r="M15" s="24"/>
      <c r="N15" s="24"/>
      <c r="O15" s="25"/>
      <c r="P15" s="9"/>
    </row>
    <row r="16" spans="1:16" x14ac:dyDescent="0.25">
      <c r="A16" s="25"/>
      <c r="B16" s="27"/>
      <c r="C16" s="27" t="s">
        <v>23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8</v>
      </c>
      <c r="I16" s="6" t="s">
        <v>10</v>
      </c>
      <c r="J16" s="1" t="s">
        <v>3</v>
      </c>
      <c r="K16" s="1" t="s">
        <v>4</v>
      </c>
      <c r="L16" s="1" t="s">
        <v>5</v>
      </c>
      <c r="M16" s="1" t="s">
        <v>6</v>
      </c>
      <c r="N16" s="1" t="s">
        <v>7</v>
      </c>
      <c r="O16" s="6" t="s">
        <v>10</v>
      </c>
      <c r="P16" s="6"/>
    </row>
    <row r="17" spans="1:16" ht="14.4" thickBot="1" x14ac:dyDescent="0.3">
      <c r="A17" s="25"/>
      <c r="B17" s="27"/>
      <c r="C17" s="28"/>
      <c r="D17" s="16">
        <f>A2/SUM($A$2:$D$2,$F$2:$G$2)</f>
        <v>0.1084901244968642</v>
      </c>
      <c r="E17" s="14">
        <f t="shared" ref="E17:G17" si="5">B2/SUM($A$2:$D$2,$F$2:$G$2)</f>
        <v>0.14092483384817001</v>
      </c>
      <c r="F17" s="14">
        <f t="shared" si="5"/>
        <v>0.11274922774501546</v>
      </c>
      <c r="G17" s="14">
        <f t="shared" si="5"/>
        <v>8.3263128334737438E-2</v>
      </c>
      <c r="H17" s="14">
        <f>F2/SUM($A$2:$D$2,$F$2:$G$2)</f>
        <v>8.6539361602546105E-2</v>
      </c>
      <c r="I17" s="13">
        <f>G2/SUM($A$2:$D$2,$F$2:$G$2)</f>
        <v>0.46803332397266695</v>
      </c>
      <c r="J17" s="14">
        <f>A2/SUM($A$2:$E$2,$G$2)</f>
        <v>0.10877522290004693</v>
      </c>
      <c r="K17" s="14">
        <f t="shared" ref="K17:N17" si="6">B2/SUM($A$2:$E$2,$G$2)</f>
        <v>0.14129516658845612</v>
      </c>
      <c r="L17" s="14">
        <f t="shared" si="6"/>
        <v>0.11304551853589864</v>
      </c>
      <c r="M17" s="14">
        <f t="shared" si="6"/>
        <v>8.3481933364617553E-2</v>
      </c>
      <c r="N17" s="14">
        <f t="shared" si="6"/>
        <v>8.4138901923979353E-2</v>
      </c>
      <c r="O17" s="13">
        <f>G2/SUM($A$2:$E$2,$G$2)</f>
        <v>0.46926325668700142</v>
      </c>
      <c r="P17" s="7"/>
    </row>
    <row r="18" spans="1:16" x14ac:dyDescent="0.25">
      <c r="A18" s="25"/>
      <c r="B18" s="27"/>
      <c r="C18" s="9" t="s">
        <v>11</v>
      </c>
      <c r="D18" s="24" t="s">
        <v>10</v>
      </c>
      <c r="E18" s="24"/>
      <c r="F18" s="24"/>
      <c r="G18" s="24"/>
      <c r="H18" s="24"/>
      <c r="I18" s="25"/>
      <c r="J18" s="24" t="s">
        <v>16</v>
      </c>
      <c r="K18" s="24"/>
      <c r="L18" s="24"/>
      <c r="M18" s="24"/>
      <c r="N18" s="24"/>
      <c r="O18" s="24"/>
      <c r="P18" s="25"/>
    </row>
    <row r="19" spans="1:16" x14ac:dyDescent="0.25">
      <c r="A19" s="25"/>
      <c r="B19" s="27"/>
      <c r="C19" s="27" t="s">
        <v>23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6" t="s">
        <v>8</v>
      </c>
      <c r="J19" s="1" t="s">
        <v>3</v>
      </c>
      <c r="K19" s="1" t="s">
        <v>4</v>
      </c>
      <c r="L19" s="1" t="s">
        <v>5</v>
      </c>
      <c r="M19" s="1" t="s">
        <v>6</v>
      </c>
      <c r="N19" s="1" t="s">
        <v>7</v>
      </c>
      <c r="O19" s="1" t="s">
        <v>8</v>
      </c>
      <c r="P19" s="6" t="s">
        <v>10</v>
      </c>
    </row>
    <row r="20" spans="1:16" ht="14.4" thickBot="1" x14ac:dyDescent="0.3">
      <c r="A20" s="25"/>
      <c r="B20" s="28"/>
      <c r="C20" s="28"/>
      <c r="D20" s="14">
        <f>A2/SUM($A$2:$F$2)</f>
        <v>0.17615320313093699</v>
      </c>
      <c r="E20" s="14">
        <f t="shared" ref="E20:I20" si="7">B2/SUM($A$2:$F$2)</f>
        <v>0.22881677939053119</v>
      </c>
      <c r="F20" s="14">
        <f t="shared" si="7"/>
        <v>0.1830686222357322</v>
      </c>
      <c r="G20" s="14">
        <f t="shared" si="7"/>
        <v>0.13519264381791929</v>
      </c>
      <c r="H20" s="14">
        <f t="shared" si="7"/>
        <v>0.13625655444942625</v>
      </c>
      <c r="I20" s="13">
        <f t="shared" si="7"/>
        <v>0.14051219697545406</v>
      </c>
      <c r="J20" s="3">
        <f>A2/SUM($A$2:$G$2)</f>
        <v>0.10009067749039251</v>
      </c>
      <c r="K20" s="3">
        <f t="shared" ref="K20:P20" si="8">B2/SUM($A$2:$G$2)</f>
        <v>0.13001424931991881</v>
      </c>
      <c r="L20" s="3">
        <f t="shared" si="8"/>
        <v>0.10402003540740101</v>
      </c>
      <c r="M20" s="3">
        <f t="shared" si="8"/>
        <v>7.6816788289649801E-2</v>
      </c>
      <c r="N20" s="3">
        <f t="shared" si="8"/>
        <v>7.7421304892266507E-2</v>
      </c>
      <c r="O20" s="3">
        <f t="shared" si="8"/>
        <v>7.9839371302733275E-2</v>
      </c>
      <c r="P20" s="8">
        <f t="shared" si="8"/>
        <v>0.43179757329763807</v>
      </c>
    </row>
    <row r="21" spans="1:16" x14ac:dyDescent="0.25">
      <c r="A21" s="25"/>
      <c r="B21" s="27" t="s">
        <v>14</v>
      </c>
      <c r="C21" s="9" t="s">
        <v>11</v>
      </c>
      <c r="D21" s="24" t="s">
        <v>3</v>
      </c>
      <c r="E21" s="24"/>
      <c r="F21" s="24"/>
      <c r="G21" s="24"/>
      <c r="H21" s="25"/>
      <c r="I21" s="24" t="s">
        <v>4</v>
      </c>
      <c r="J21" s="24"/>
      <c r="K21" s="24"/>
      <c r="L21" s="24"/>
      <c r="M21" s="25"/>
      <c r="P21" s="6"/>
    </row>
    <row r="22" spans="1:16" x14ac:dyDescent="0.25">
      <c r="A22" s="25"/>
      <c r="B22" s="27"/>
      <c r="C22" s="27" t="s">
        <v>23</v>
      </c>
      <c r="D22" s="1" t="s">
        <v>4</v>
      </c>
      <c r="E22" s="1" t="s">
        <v>5</v>
      </c>
      <c r="F22" s="1" t="s">
        <v>6</v>
      </c>
      <c r="G22" s="1" t="s">
        <v>8</v>
      </c>
      <c r="H22" s="6" t="s">
        <v>10</v>
      </c>
      <c r="I22" s="1" t="s">
        <v>3</v>
      </c>
      <c r="J22" s="1" t="s">
        <v>5</v>
      </c>
      <c r="K22" s="1" t="s">
        <v>6</v>
      </c>
      <c r="L22" s="1" t="s">
        <v>8</v>
      </c>
      <c r="M22" s="6" t="s">
        <v>10</v>
      </c>
      <c r="P22" s="6"/>
    </row>
    <row r="23" spans="1:16" ht="14.4" thickBot="1" x14ac:dyDescent="0.3">
      <c r="A23" s="25"/>
      <c r="B23" s="27"/>
      <c r="C23" s="28"/>
      <c r="D23" s="16">
        <f>B2/SUM($B$2:$D$2,$F$2:$G$2)</f>
        <v>0.15807433851322972</v>
      </c>
      <c r="E23" s="14">
        <f t="shared" ref="E23:F23" si="9">C2/SUM($B$2:$D$2,$F$2:$G$2)</f>
        <v>0.12646997060058798</v>
      </c>
      <c r="F23" s="14">
        <f t="shared" si="9"/>
        <v>9.3395632087358238E-2</v>
      </c>
      <c r="G23" s="14">
        <f>F2/SUM($B$2:$D$2,$F$2:$G$2)</f>
        <v>9.707055858882821E-2</v>
      </c>
      <c r="H23" s="13">
        <f>G2/SUM($B$2:$D$2,$F$2:$G$2)</f>
        <v>0.5249895002099958</v>
      </c>
      <c r="I23" s="14">
        <f>A2/SUM($A$2,$C$2:$D$2,$F$2:$G$2)</f>
        <v>0.12628711522745845</v>
      </c>
      <c r="J23" s="14">
        <f>C2/SUM($A$2,$C$2:$D$2,$F$2:$G$2)</f>
        <v>0.13124489239989104</v>
      </c>
      <c r="K23" s="14">
        <f>D2/SUM($A$2,$C$2:$D$2,$F$2:$G$2)</f>
        <v>9.6921819667665471E-2</v>
      </c>
      <c r="L23" s="14">
        <f>F2/SUM($A$2,$C$2:$D$2,$F$2:$G$2)</f>
        <v>0.10073549441569053</v>
      </c>
      <c r="M23" s="13">
        <f>G2/SUM($A$2,$C$2:$D$2,$F$2:$G$2)</f>
        <v>0.54481067828929441</v>
      </c>
      <c r="N23" s="5"/>
      <c r="O23" s="5"/>
      <c r="P23" s="6"/>
    </row>
    <row r="24" spans="1:16" x14ac:dyDescent="0.25">
      <c r="A24" s="25"/>
      <c r="B24" s="27"/>
      <c r="C24" s="9" t="s">
        <v>11</v>
      </c>
      <c r="D24" s="24" t="s">
        <v>5</v>
      </c>
      <c r="E24" s="24"/>
      <c r="F24" s="24"/>
      <c r="G24" s="24"/>
      <c r="H24" s="25"/>
      <c r="I24" s="24" t="s">
        <v>6</v>
      </c>
      <c r="J24" s="24"/>
      <c r="K24" s="24"/>
      <c r="L24" s="24"/>
      <c r="M24" s="25"/>
      <c r="N24" s="18"/>
      <c r="O24" s="5"/>
      <c r="P24" s="15"/>
    </row>
    <row r="25" spans="1:16" x14ac:dyDescent="0.25">
      <c r="A25" s="25"/>
      <c r="B25" s="27"/>
      <c r="C25" s="27" t="s">
        <v>23</v>
      </c>
      <c r="D25" s="1" t="s">
        <v>3</v>
      </c>
      <c r="E25" s="1" t="s">
        <v>4</v>
      </c>
      <c r="F25" s="1" t="s">
        <v>6</v>
      </c>
      <c r="G25" s="1" t="s">
        <v>8</v>
      </c>
      <c r="H25" s="6" t="s">
        <v>10</v>
      </c>
      <c r="I25" s="1" t="s">
        <v>3</v>
      </c>
      <c r="J25" s="1" t="s">
        <v>4</v>
      </c>
      <c r="K25" s="1" t="s">
        <v>5</v>
      </c>
      <c r="L25" s="1" t="s">
        <v>8</v>
      </c>
      <c r="M25" s="6" t="s">
        <v>10</v>
      </c>
      <c r="P25" s="6"/>
    </row>
    <row r="26" spans="1:16" ht="14.4" thickBot="1" x14ac:dyDescent="0.3">
      <c r="A26" s="25"/>
      <c r="B26" s="27"/>
      <c r="C26" s="28"/>
      <c r="D26" s="16">
        <f>A2/SUM($A$2:$B$2,$D$2,$F$2:$G$2)</f>
        <v>0.12227673155035079</v>
      </c>
      <c r="E26" s="14">
        <f t="shared" ref="E26" si="10">B2/SUM($A$2:$B$2,$D$2,$F$2:$G$2)</f>
        <v>0.15883314870496387</v>
      </c>
      <c r="F26" s="14">
        <f>D2/SUM($A$2:$B$2,$D$2,$F$2:$G$2)</f>
        <v>9.3843962652318411E-2</v>
      </c>
      <c r="G26" s="14">
        <f>F2/SUM($A$2:$B$2,$D$2,$F$2:$G$2)</f>
        <v>9.7536530041673258E-2</v>
      </c>
      <c r="H26" s="13">
        <f>G2/SUM($A$2:$B$2,$D$2,$F$2:$G$2)</f>
        <v>0.52750962705069371</v>
      </c>
      <c r="I26" s="14">
        <f>A2/SUM($A$2:$C$2,$F$2:$G$2)</f>
        <v>0.11834379945882473</v>
      </c>
      <c r="J26" s="14">
        <f t="shared" ref="J26:K26" si="11">B2/SUM($A$2:$C$2,$F$2:$G$2)</f>
        <v>0.15372440904681675</v>
      </c>
      <c r="K26" s="14">
        <f t="shared" si="11"/>
        <v>0.12298973809159136</v>
      </c>
      <c r="L26" s="14">
        <f>F2/SUM($A$2:$C$2,$F$2:$G$2)</f>
        <v>9.4399346505335158E-2</v>
      </c>
      <c r="M26" s="13">
        <f>G2/SUM($A$2:$C$2,$F$2:$G$2)</f>
        <v>0.51054270689743197</v>
      </c>
      <c r="N26" s="5"/>
      <c r="O26" s="5"/>
      <c r="P26" s="6"/>
    </row>
    <row r="27" spans="1:16" x14ac:dyDescent="0.25">
      <c r="A27" s="25"/>
      <c r="B27" s="27"/>
      <c r="C27" s="9" t="s">
        <v>11</v>
      </c>
      <c r="D27" s="24" t="s">
        <v>8</v>
      </c>
      <c r="E27" s="24"/>
      <c r="F27" s="24"/>
      <c r="G27" s="24"/>
      <c r="H27" s="25"/>
      <c r="I27" s="24" t="s">
        <v>10</v>
      </c>
      <c r="J27" s="24"/>
      <c r="K27" s="24"/>
      <c r="L27" s="24"/>
      <c r="M27" s="25"/>
      <c r="N27" s="18"/>
      <c r="O27" s="5"/>
      <c r="P27" s="6"/>
    </row>
    <row r="28" spans="1:16" x14ac:dyDescent="0.25">
      <c r="A28" s="25"/>
      <c r="B28" s="27"/>
      <c r="C28" s="27" t="s">
        <v>23</v>
      </c>
      <c r="D28" s="1" t="s">
        <v>3</v>
      </c>
      <c r="E28" s="1" t="s">
        <v>4</v>
      </c>
      <c r="F28" s="1" t="s">
        <v>5</v>
      </c>
      <c r="G28" s="1" t="s">
        <v>6</v>
      </c>
      <c r="H28" s="6" t="s">
        <v>10</v>
      </c>
      <c r="I28" s="1" t="s">
        <v>3</v>
      </c>
      <c r="J28" s="1" t="s">
        <v>4</v>
      </c>
      <c r="K28" s="1" t="s">
        <v>5</v>
      </c>
      <c r="L28" s="1" t="s">
        <v>6</v>
      </c>
      <c r="M28" s="6" t="s">
        <v>8</v>
      </c>
      <c r="P28" s="6"/>
    </row>
    <row r="29" spans="1:16" ht="14.4" thickBot="1" x14ac:dyDescent="0.3">
      <c r="A29" s="25"/>
      <c r="B29" s="27"/>
      <c r="C29" s="28"/>
      <c r="D29" s="16">
        <f>A2/SUM($A$2:$D$2,$G$2)</f>
        <v>0.11876825331762055</v>
      </c>
      <c r="E29" s="14">
        <f>B2/SUM($A$2:$D$2,$G$2)</f>
        <v>0.15427575959419992</v>
      </c>
      <c r="F29" s="14">
        <f t="shared" ref="F29:G29" si="12">C2/SUM($A$2:$D$2,$G$2)</f>
        <v>0.12343085515191884</v>
      </c>
      <c r="G29" s="14">
        <f t="shared" si="12"/>
        <v>9.1151303991392124E-2</v>
      </c>
      <c r="H29" s="13">
        <f>G2/SUM($A$2:$D$2,$G$2)</f>
        <v>0.51237382794486863</v>
      </c>
      <c r="I29" s="14">
        <f>A2/SUM($A$2:$D$2,$F$2)</f>
        <v>0.20394158015132854</v>
      </c>
      <c r="J29" s="14">
        <f t="shared" ref="J29:L29" si="13">B2/SUM($A$2:$D$2,$F$2)</f>
        <v>0.26491289811719165</v>
      </c>
      <c r="K29" s="14">
        <f t="shared" si="13"/>
        <v>0.21194791483371461</v>
      </c>
      <c r="L29" s="14">
        <f t="shared" si="13"/>
        <v>0.15651944395565723</v>
      </c>
      <c r="M29" s="13">
        <f>F2/SUM($A$2:$D$2,$F$2)</f>
        <v>0.16267816294210805</v>
      </c>
      <c r="N29" s="4"/>
      <c r="O29" s="4"/>
      <c r="P29" s="7"/>
    </row>
    <row r="30" spans="1:16" x14ac:dyDescent="0.25">
      <c r="A30" s="25"/>
      <c r="B30" s="27"/>
      <c r="C30" s="9" t="s">
        <v>11</v>
      </c>
      <c r="D30" s="24" t="s">
        <v>16</v>
      </c>
      <c r="E30" s="24"/>
      <c r="F30" s="24"/>
      <c r="G30" s="24"/>
      <c r="H30" s="24"/>
      <c r="I30" s="25"/>
      <c r="P30" s="6"/>
    </row>
    <row r="31" spans="1:16" x14ac:dyDescent="0.25">
      <c r="A31" s="25"/>
      <c r="B31" s="27"/>
      <c r="C31" s="27" t="s">
        <v>23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8</v>
      </c>
      <c r="I31" s="6" t="s">
        <v>10</v>
      </c>
      <c r="P31" s="6"/>
    </row>
    <row r="32" spans="1:16" ht="14.4" thickBot="1" x14ac:dyDescent="0.3">
      <c r="A32" s="25"/>
      <c r="B32" s="28"/>
      <c r="C32" s="28"/>
      <c r="D32" s="3">
        <f>A2/SUM($A$2:$D$2,$F$2:$G$2)</f>
        <v>0.1084901244968642</v>
      </c>
      <c r="E32" s="3">
        <f t="shared" ref="E32:G32" si="14">B2/SUM($A$2:$D$2,$F$2:$G$2)</f>
        <v>0.14092483384817001</v>
      </c>
      <c r="F32" s="3">
        <f t="shared" si="14"/>
        <v>0.11274922774501546</v>
      </c>
      <c r="G32" s="3">
        <f t="shared" si="14"/>
        <v>8.3263128334737438E-2</v>
      </c>
      <c r="H32" s="3">
        <f>F2/SUM($A$2:$D$2,$F$2:$G$2)</f>
        <v>8.6539361602546105E-2</v>
      </c>
      <c r="I32" s="8">
        <f>G2/SUM($A$2:$D$2,$F$2:$G$2)</f>
        <v>0.46803332397266695</v>
      </c>
      <c r="J32" s="4"/>
      <c r="K32" s="4"/>
      <c r="L32" s="4"/>
      <c r="M32" s="4"/>
      <c r="N32" s="4"/>
      <c r="O32" s="4"/>
      <c r="P32" s="7"/>
    </row>
    <row r="33" spans="1:16" x14ac:dyDescent="0.25">
      <c r="A33" s="25"/>
      <c r="B33" s="27" t="s">
        <v>15</v>
      </c>
      <c r="C33" s="9" t="s">
        <v>11</v>
      </c>
      <c r="D33" s="24" t="s">
        <v>3</v>
      </c>
      <c r="E33" s="24"/>
      <c r="F33" s="24"/>
      <c r="G33" s="25"/>
      <c r="H33" s="24" t="s">
        <v>4</v>
      </c>
      <c r="I33" s="24"/>
      <c r="J33" s="24"/>
      <c r="K33" s="25"/>
      <c r="L33" s="24" t="s">
        <v>10</v>
      </c>
      <c r="M33" s="24"/>
      <c r="N33" s="24"/>
      <c r="O33" s="25"/>
      <c r="P33" s="6"/>
    </row>
    <row r="34" spans="1:16" x14ac:dyDescent="0.25">
      <c r="A34" s="25"/>
      <c r="B34" s="27"/>
      <c r="C34" s="27" t="s">
        <v>23</v>
      </c>
      <c r="D34" s="1" t="s">
        <v>4</v>
      </c>
      <c r="E34" s="1" t="s">
        <v>6</v>
      </c>
      <c r="F34" s="1" t="s">
        <v>7</v>
      </c>
      <c r="G34" s="6" t="s">
        <v>10</v>
      </c>
      <c r="H34" s="1" t="s">
        <v>3</v>
      </c>
      <c r="I34" s="1" t="s">
        <v>6</v>
      </c>
      <c r="J34" s="1" t="s">
        <v>7</v>
      </c>
      <c r="K34" s="6" t="s">
        <v>10</v>
      </c>
      <c r="L34" s="1" t="s">
        <v>3</v>
      </c>
      <c r="M34" s="1" t="s">
        <v>4</v>
      </c>
      <c r="N34" s="1" t="s">
        <v>6</v>
      </c>
      <c r="O34" s="6" t="s">
        <v>7</v>
      </c>
      <c r="P34" s="6"/>
    </row>
    <row r="35" spans="1:16" ht="14.4" thickBot="1" x14ac:dyDescent="0.3">
      <c r="A35" s="25"/>
      <c r="B35" s="27"/>
      <c r="C35" s="28"/>
      <c r="D35" s="17">
        <f>B2/SUM($B$2,$D$2,$E$2,$G$2)</f>
        <v>0.18157148887414823</v>
      </c>
      <c r="E35" s="4">
        <f>D2/SUM($B$2,$D$2,$E$2,$G$2)</f>
        <v>0.10727853826207562</v>
      </c>
      <c r="F35" s="4">
        <f>E2/SUM($B$2,$D$2,$E$2,$G$2)</f>
        <v>0.10812277633721282</v>
      </c>
      <c r="G35" s="7">
        <f>G2/SUM($B$2,$D$2,$E$2,$G$2)</f>
        <v>0.60302719652656345</v>
      </c>
      <c r="H35" s="4">
        <f>A2/SUM($A$2,$D$2,$E$2,$G$2)</f>
        <v>0.14587791063561989</v>
      </c>
      <c r="I35" s="4">
        <f>D2/SUM($A$2,$D$2,$E$2,$G$2)</f>
        <v>0.11195720578980491</v>
      </c>
      <c r="J35" s="4">
        <f>E2/SUM($A$2,$D$2,$E$2,$G$2)</f>
        <v>0.11283826305852737</v>
      </c>
      <c r="K35" s="7">
        <f>G2/SUM($A$2,$D$2,$E$2,$G$2)</f>
        <v>0.62932662051604782</v>
      </c>
      <c r="L35" s="4">
        <f>A2/SUM($A$2:$B$2,$D$2:$E$2)</f>
        <v>0.26042017750814517</v>
      </c>
      <c r="M35" s="4">
        <f>B2/SUM($A$2:$B$2,$D$2:$E$2)</f>
        <v>0.33827659813504102</v>
      </c>
      <c r="N35" s="4">
        <f>D2/SUM($A$2:$B$2,$D$2:$E$2)</f>
        <v>0.19986518368722617</v>
      </c>
      <c r="O35" s="7">
        <f>E2/SUM($A$2:$B$2,$D$2:$E$2)</f>
        <v>0.2014380406695877</v>
      </c>
      <c r="P35" s="7"/>
    </row>
    <row r="36" spans="1:16" x14ac:dyDescent="0.25">
      <c r="A36" s="25"/>
      <c r="B36" s="27"/>
      <c r="C36" s="9" t="s">
        <v>11</v>
      </c>
      <c r="D36" s="24" t="s">
        <v>6</v>
      </c>
      <c r="E36" s="24"/>
      <c r="F36" s="24"/>
      <c r="G36" s="25"/>
      <c r="H36" s="24" t="s">
        <v>7</v>
      </c>
      <c r="I36" s="24"/>
      <c r="J36" s="24"/>
      <c r="K36" s="25"/>
      <c r="L36" s="24" t="s">
        <v>19</v>
      </c>
      <c r="M36" s="24"/>
      <c r="N36" s="24"/>
      <c r="O36" s="24"/>
      <c r="P36" s="25"/>
    </row>
    <row r="37" spans="1:16" x14ac:dyDescent="0.25">
      <c r="A37" s="25"/>
      <c r="B37" s="27"/>
      <c r="C37" s="27" t="s">
        <v>23</v>
      </c>
      <c r="D37" s="1" t="s">
        <v>3</v>
      </c>
      <c r="E37" s="1" t="s">
        <v>4</v>
      </c>
      <c r="F37" s="1" t="s">
        <v>7</v>
      </c>
      <c r="G37" s="6" t="s">
        <v>10</v>
      </c>
      <c r="H37" s="1" t="s">
        <v>3</v>
      </c>
      <c r="I37" s="1" t="s">
        <v>4</v>
      </c>
      <c r="J37" s="1" t="s">
        <v>6</v>
      </c>
      <c r="K37" s="6" t="s">
        <v>10</v>
      </c>
      <c r="L37" s="1" t="s">
        <v>3</v>
      </c>
      <c r="M37" s="1" t="s">
        <v>4</v>
      </c>
      <c r="N37" s="1" t="s">
        <v>6</v>
      </c>
      <c r="O37" s="1" t="s">
        <v>7</v>
      </c>
      <c r="P37" s="6" t="s">
        <v>10</v>
      </c>
    </row>
    <row r="38" spans="1:16" ht="14.4" thickBot="1" x14ac:dyDescent="0.3">
      <c r="A38" s="29"/>
      <c r="B38" s="28"/>
      <c r="C38" s="28"/>
      <c r="D38" s="4">
        <f>A2/SUM($A$2:$B$2,$E$2,$G$2)</f>
        <v>0.13538138067982713</v>
      </c>
      <c r="E38" s="4">
        <f t="shared" ref="E38" si="15">B2/SUM($A$2:$B$2,$E$2,$G$2)</f>
        <v>0.1758556243429506</v>
      </c>
      <c r="F38" s="4">
        <f>E2/SUM($A$2:$B$2,$E$2,$G$2)</f>
        <v>0.10471907487443055</v>
      </c>
      <c r="G38" s="7">
        <f>G2/SUM($A$2:$B$2,$E$2,$G$2)</f>
        <v>0.58404392010279171</v>
      </c>
      <c r="H38" s="4">
        <f>A2/SUM($A$2:$B$2,$D$2,$G$2)</f>
        <v>0.13549216740706105</v>
      </c>
      <c r="I38" s="4">
        <f t="shared" ref="I38" si="16">B2/SUM($A$2:$B$2,$D$2,$G$2)</f>
        <v>0.17599953238251112</v>
      </c>
      <c r="J38" s="4">
        <f>D2/SUM($A$2:$B$2,$D$2,$G$2)</f>
        <v>0.10398643909282207</v>
      </c>
      <c r="K38" s="7">
        <f>G2/SUM($A$2:$B$2,$D$2,$G$2)</f>
        <v>0.58452186111760585</v>
      </c>
      <c r="L38" s="4">
        <f>A2/SUM($A$2:$B$2,$D$2:$E$2,$G$2)</f>
        <v>0.12263901380879319</v>
      </c>
      <c r="M38" s="4">
        <f>B2/SUM($A$2:$B$2,$D$2:$E$2,$G$2)</f>
        <v>0.15930374054282842</v>
      </c>
      <c r="N38" s="4">
        <f>D2/SUM($A$2:$B$2,$D$2:$E$2,$G$2)</f>
        <v>9.4122004126765774E-2</v>
      </c>
      <c r="O38" s="4">
        <f>E2/SUM($A$2:$B$2,$D$2:$E$2,$G$2)</f>
        <v>9.4862705676948308E-2</v>
      </c>
      <c r="P38" s="7">
        <f>G2/SUM($A$2:$B$2,$D$2:$E$2,$G$2)</f>
        <v>0.52907253584466429</v>
      </c>
    </row>
    <row r="39" spans="1:16" x14ac:dyDescent="0.25">
      <c r="A39" s="2"/>
      <c r="B39" s="2"/>
      <c r="H39" s="2"/>
      <c r="M39" s="2"/>
    </row>
    <row r="40" spans="1:16" x14ac:dyDescent="0.25">
      <c r="A40" s="2"/>
      <c r="B40" s="2"/>
      <c r="C40" s="30"/>
    </row>
    <row r="41" spans="1:16" x14ac:dyDescent="0.25">
      <c r="A41" s="2"/>
      <c r="B41" s="2"/>
      <c r="C41" s="30"/>
    </row>
    <row r="42" spans="1:16" x14ac:dyDescent="0.25">
      <c r="A42" s="2"/>
      <c r="B42" s="2"/>
    </row>
    <row r="43" spans="1:16" x14ac:dyDescent="0.25">
      <c r="A43" s="2"/>
      <c r="B43" s="2"/>
      <c r="C43" s="30"/>
    </row>
    <row r="44" spans="1:16" x14ac:dyDescent="0.25">
      <c r="A44" s="2"/>
      <c r="B44" s="2"/>
      <c r="C44" s="30"/>
    </row>
  </sheetData>
  <mergeCells count="45">
    <mergeCell ref="L33:O33"/>
    <mergeCell ref="B33:B38"/>
    <mergeCell ref="A3:A38"/>
    <mergeCell ref="D33:G33"/>
    <mergeCell ref="H33:K33"/>
    <mergeCell ref="L36:P36"/>
    <mergeCell ref="D36:G36"/>
    <mergeCell ref="H36:K36"/>
    <mergeCell ref="D30:I30"/>
    <mergeCell ref="C13:C14"/>
    <mergeCell ref="C10:C11"/>
    <mergeCell ref="D9:I9"/>
    <mergeCell ref="J9:O9"/>
    <mergeCell ref="D12:I12"/>
    <mergeCell ref="J12:O12"/>
    <mergeCell ref="D3:F3"/>
    <mergeCell ref="D18:I18"/>
    <mergeCell ref="J18:P18"/>
    <mergeCell ref="D21:H21"/>
    <mergeCell ref="I21:M21"/>
    <mergeCell ref="G3:I3"/>
    <mergeCell ref="G6:J6"/>
    <mergeCell ref="J3:L3"/>
    <mergeCell ref="D6:F6"/>
    <mergeCell ref="D15:I15"/>
    <mergeCell ref="J15:O15"/>
    <mergeCell ref="D24:H24"/>
    <mergeCell ref="I24:M24"/>
    <mergeCell ref="D27:H27"/>
    <mergeCell ref="I27:M27"/>
    <mergeCell ref="B21:B32"/>
    <mergeCell ref="C34:C35"/>
    <mergeCell ref="C37:C38"/>
    <mergeCell ref="C40:C41"/>
    <mergeCell ref="C43:C44"/>
    <mergeCell ref="C22:C23"/>
    <mergeCell ref="C25:C26"/>
    <mergeCell ref="C28:C29"/>
    <mergeCell ref="B9:B20"/>
    <mergeCell ref="C7:C8"/>
    <mergeCell ref="C4:C5"/>
    <mergeCell ref="B3:B8"/>
    <mergeCell ref="C31:C32"/>
    <mergeCell ref="C16:C17"/>
    <mergeCell ref="C19:C20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D430-D1B6-490C-A0FA-4123E3C664B1}">
  <dimension ref="A1:P35"/>
  <sheetViews>
    <sheetView topLeftCell="A3" zoomScale="130" zoomScaleNormal="130" workbookViewId="0">
      <selection activeCell="G20" sqref="G20"/>
    </sheetView>
  </sheetViews>
  <sheetFormatPr defaultRowHeight="13.8" x14ac:dyDescent="0.25"/>
  <cols>
    <col min="1" max="1" width="8.88671875" style="19"/>
    <col min="2" max="2" width="11.6640625" style="19" bestFit="1" customWidth="1"/>
    <col min="3" max="3" width="8.88671875" style="19"/>
    <col min="4" max="4" width="10.33203125" style="19" bestFit="1" customWidth="1"/>
    <col min="5" max="16384" width="8.88671875" style="19"/>
  </cols>
  <sheetData>
    <row r="1" spans="1:16" hidden="1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idden="1" x14ac:dyDescent="0.25">
      <c r="A2" s="5">
        <v>0</v>
      </c>
      <c r="B2" s="5">
        <v>30.11</v>
      </c>
      <c r="C2" s="5">
        <v>24.09</v>
      </c>
      <c r="D2" s="5">
        <v>17.79</v>
      </c>
      <c r="E2" s="5">
        <v>17.93</v>
      </c>
      <c r="F2" s="5">
        <v>18.489999999999998</v>
      </c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25" t="s">
        <v>20</v>
      </c>
      <c r="B3" s="27" t="s">
        <v>12</v>
      </c>
      <c r="C3" s="9" t="s">
        <v>11</v>
      </c>
      <c r="D3" s="24" t="s">
        <v>21</v>
      </c>
      <c r="E3" s="25"/>
      <c r="F3" s="31" t="s">
        <v>4</v>
      </c>
      <c r="G3" s="25"/>
      <c r="H3" s="31" t="s">
        <v>5</v>
      </c>
      <c r="I3" s="25"/>
      <c r="J3" s="5"/>
      <c r="K3" s="5"/>
      <c r="L3" s="5"/>
      <c r="M3" s="5"/>
      <c r="N3" s="5"/>
      <c r="O3" s="5"/>
      <c r="P3" s="6"/>
    </row>
    <row r="4" spans="1:16" x14ac:dyDescent="0.25">
      <c r="A4" s="25"/>
      <c r="B4" s="27"/>
      <c r="C4" s="27" t="s">
        <v>24</v>
      </c>
      <c r="D4" s="5" t="s">
        <v>4</v>
      </c>
      <c r="E4" s="6" t="s">
        <v>5</v>
      </c>
      <c r="F4" s="31" t="s">
        <v>5</v>
      </c>
      <c r="G4" s="25"/>
      <c r="H4" s="31" t="s">
        <v>4</v>
      </c>
      <c r="I4" s="25"/>
      <c r="J4" s="5"/>
      <c r="K4" s="5"/>
      <c r="L4" s="5"/>
      <c r="M4" s="5"/>
      <c r="N4" s="5"/>
      <c r="O4" s="5"/>
      <c r="P4" s="6"/>
    </row>
    <row r="5" spans="1:16" ht="14.4" thickBot="1" x14ac:dyDescent="0.3">
      <c r="A5" s="25"/>
      <c r="B5" s="28"/>
      <c r="C5" s="28"/>
      <c r="D5" s="3">
        <f>B2/SUM($B$2,$C$2)</f>
        <v>0.55553505535055347</v>
      </c>
      <c r="E5" s="8">
        <f>C2/SUM($B$2,$C$2)</f>
        <v>0.44446494464944647</v>
      </c>
      <c r="F5" s="32">
        <v>1</v>
      </c>
      <c r="G5" s="33"/>
      <c r="H5" s="32">
        <v>1</v>
      </c>
      <c r="I5" s="33"/>
      <c r="J5" s="4"/>
      <c r="K5" s="4"/>
      <c r="L5" s="4"/>
      <c r="M5" s="4"/>
      <c r="N5" s="4"/>
      <c r="O5" s="4"/>
      <c r="P5" s="7"/>
    </row>
    <row r="6" spans="1:16" x14ac:dyDescent="0.25">
      <c r="A6" s="25"/>
      <c r="B6" s="26" t="s">
        <v>13</v>
      </c>
      <c r="C6" s="10" t="s">
        <v>11</v>
      </c>
      <c r="D6" s="24" t="s">
        <v>26</v>
      </c>
      <c r="E6" s="24"/>
      <c r="F6" s="24"/>
      <c r="G6" s="24"/>
      <c r="H6" s="25"/>
      <c r="I6" s="24" t="s">
        <v>4</v>
      </c>
      <c r="J6" s="24"/>
      <c r="K6" s="24"/>
      <c r="L6" s="25"/>
      <c r="M6" s="24" t="s">
        <v>5</v>
      </c>
      <c r="N6" s="24"/>
      <c r="O6" s="24"/>
      <c r="P6" s="25"/>
    </row>
    <row r="7" spans="1:16" x14ac:dyDescent="0.25">
      <c r="A7" s="25"/>
      <c r="B7" s="27"/>
      <c r="C7" s="27" t="s">
        <v>24</v>
      </c>
      <c r="D7" s="5" t="s">
        <v>4</v>
      </c>
      <c r="E7" s="5" t="s">
        <v>5</v>
      </c>
      <c r="F7" s="5" t="s">
        <v>6</v>
      </c>
      <c r="G7" s="5" t="s">
        <v>7</v>
      </c>
      <c r="H7" s="6" t="s">
        <v>8</v>
      </c>
      <c r="I7" s="5" t="s">
        <v>5</v>
      </c>
      <c r="J7" s="5" t="s">
        <v>6</v>
      </c>
      <c r="K7" s="5" t="s">
        <v>7</v>
      </c>
      <c r="L7" s="6" t="s">
        <v>8</v>
      </c>
      <c r="M7" s="5" t="s">
        <v>4</v>
      </c>
      <c r="N7" s="5" t="s">
        <v>6</v>
      </c>
      <c r="O7" s="5" t="s">
        <v>7</v>
      </c>
      <c r="P7" s="6" t="s">
        <v>8</v>
      </c>
    </row>
    <row r="8" spans="1:16" ht="14.4" thickBot="1" x14ac:dyDescent="0.3">
      <c r="A8" s="25"/>
      <c r="B8" s="27"/>
      <c r="C8" s="28"/>
      <c r="D8" s="12">
        <f>B2/SUM($B$2:$F$2)</f>
        <v>0.2777419057282538</v>
      </c>
      <c r="E8" s="3">
        <f t="shared" ref="E8:H8" si="0">C2/SUM($B$2:$F$2)</f>
        <v>0.22221197306521537</v>
      </c>
      <c r="F8" s="3">
        <f t="shared" si="0"/>
        <v>0.16409925283645418</v>
      </c>
      <c r="G8" s="3">
        <f t="shared" si="0"/>
        <v>0.16539064661931555</v>
      </c>
      <c r="H8" s="8">
        <f t="shared" si="0"/>
        <v>0.17055622175076096</v>
      </c>
      <c r="I8" s="3">
        <f>C2/SUM($C$2:$F$2)</f>
        <v>0.30766283524904214</v>
      </c>
      <c r="J8" s="3">
        <f t="shared" ref="J8:L8" si="1">D2/SUM($C$2:$F$2)</f>
        <v>0.2272030651340996</v>
      </c>
      <c r="K8" s="3">
        <f t="shared" si="1"/>
        <v>0.22899106002554279</v>
      </c>
      <c r="L8" s="8">
        <f t="shared" si="1"/>
        <v>0.23614303959131544</v>
      </c>
      <c r="M8" s="16">
        <f>B2/SUM($B$2,$D$2:$F$2)</f>
        <v>0.35709203036053133</v>
      </c>
      <c r="N8" s="14">
        <f>D2/SUM($B$2,$D$2:$F$2)</f>
        <v>0.21098197343453512</v>
      </c>
      <c r="O8" s="14">
        <f>E2/SUM($B$2,$D$2:$F$2)</f>
        <v>0.21264231499051234</v>
      </c>
      <c r="P8" s="13">
        <f>F2/SUM($B$2,$D$2:$F$2)</f>
        <v>0.21928368121442124</v>
      </c>
    </row>
    <row r="9" spans="1:16" x14ac:dyDescent="0.25">
      <c r="A9" s="25"/>
      <c r="B9" s="27"/>
      <c r="C9" s="9" t="s">
        <v>11</v>
      </c>
      <c r="D9" s="24" t="s">
        <v>6</v>
      </c>
      <c r="E9" s="24"/>
      <c r="F9" s="24"/>
      <c r="G9" s="25"/>
      <c r="H9" s="24" t="s">
        <v>7</v>
      </c>
      <c r="I9" s="24"/>
      <c r="J9" s="24"/>
      <c r="K9" s="25"/>
      <c r="L9" s="24" t="s">
        <v>8</v>
      </c>
      <c r="M9" s="24"/>
      <c r="N9" s="24"/>
      <c r="O9" s="25"/>
      <c r="P9" s="6"/>
    </row>
    <row r="10" spans="1:16" x14ac:dyDescent="0.25">
      <c r="A10" s="25"/>
      <c r="B10" s="27"/>
      <c r="C10" s="27" t="s">
        <v>24</v>
      </c>
      <c r="D10" s="5" t="s">
        <v>4</v>
      </c>
      <c r="E10" s="5" t="s">
        <v>5</v>
      </c>
      <c r="F10" s="5" t="s">
        <v>7</v>
      </c>
      <c r="G10" s="6" t="s">
        <v>8</v>
      </c>
      <c r="H10" s="5" t="s">
        <v>4</v>
      </c>
      <c r="I10" s="5" t="s">
        <v>5</v>
      </c>
      <c r="J10" s="5" t="s">
        <v>6</v>
      </c>
      <c r="K10" s="6" t="s">
        <v>8</v>
      </c>
      <c r="L10" s="5" t="s">
        <v>4</v>
      </c>
      <c r="M10" s="5" t="s">
        <v>5</v>
      </c>
      <c r="N10" s="5" t="s">
        <v>6</v>
      </c>
      <c r="O10" s="6" t="s">
        <v>7</v>
      </c>
      <c r="P10" s="6"/>
    </row>
    <row r="11" spans="1:16" ht="14.4" thickBot="1" x14ac:dyDescent="0.3">
      <c r="A11" s="25"/>
      <c r="B11" s="28"/>
      <c r="C11" s="28"/>
      <c r="D11" s="16">
        <f>B2/SUM($B$2:$C$2,$E$2:$F$2)</f>
        <v>0.33226660781284489</v>
      </c>
      <c r="E11" s="14">
        <f>C2/SUM($B$2:$C$2,$E$2:$F$2)</f>
        <v>0.2658353564334584</v>
      </c>
      <c r="F11" s="14">
        <f>E2/SUM($B$2:$C$2,$E$2:$F$2)</f>
        <v>0.19785919223129553</v>
      </c>
      <c r="G11" s="13">
        <f>F2/SUM($B$2:$C$2,$E$2:$F$2)</f>
        <v>0.20403884352240123</v>
      </c>
      <c r="H11" s="14">
        <f>B2/SUM($B$2:$D$2,$F$2)</f>
        <v>0.33278072502210432</v>
      </c>
      <c r="I11" s="14">
        <f>C2/SUM($B$2:$D$2,$F$2)</f>
        <v>0.2662466843501326</v>
      </c>
      <c r="J11" s="14">
        <f>D2/SUM($B$2:$D$2,$F$2)</f>
        <v>0.19661803713527851</v>
      </c>
      <c r="K11" s="13">
        <f>F2/SUM($B$2:$D$2,$F$2)</f>
        <v>0.20435455349248449</v>
      </c>
      <c r="L11" s="14">
        <f>B2/SUM($B$2:$E$2)</f>
        <v>0.33485320284697501</v>
      </c>
      <c r="M11" s="14">
        <f>C2/SUM($B$2:$E$2)</f>
        <v>0.26790480427046259</v>
      </c>
      <c r="N11" s="14">
        <f>D2/SUM($B$2:$E$2)</f>
        <v>0.1978425266903914</v>
      </c>
      <c r="O11" s="13">
        <f>E2/SUM($B$2:$E$2)</f>
        <v>0.19939946619217078</v>
      </c>
      <c r="P11" s="11"/>
    </row>
    <row r="12" spans="1:16" x14ac:dyDescent="0.25">
      <c r="A12" s="25"/>
      <c r="B12" s="27" t="s">
        <v>14</v>
      </c>
      <c r="C12" s="9" t="s">
        <v>11</v>
      </c>
      <c r="D12" s="24" t="s">
        <v>26</v>
      </c>
      <c r="E12" s="24"/>
      <c r="F12" s="24"/>
      <c r="G12" s="25"/>
      <c r="H12" s="24" t="s">
        <v>4</v>
      </c>
      <c r="I12" s="24"/>
      <c r="J12" s="25"/>
      <c r="K12" s="24" t="s">
        <v>5</v>
      </c>
      <c r="L12" s="24"/>
      <c r="M12" s="25"/>
      <c r="N12" s="24" t="s">
        <v>6</v>
      </c>
      <c r="O12" s="24"/>
      <c r="P12" s="25"/>
    </row>
    <row r="13" spans="1:16" x14ac:dyDescent="0.25">
      <c r="A13" s="25"/>
      <c r="B13" s="27"/>
      <c r="C13" s="27" t="s">
        <v>24</v>
      </c>
      <c r="D13" s="5" t="s">
        <v>4</v>
      </c>
      <c r="E13" s="5" t="s">
        <v>5</v>
      </c>
      <c r="F13" s="5" t="s">
        <v>6</v>
      </c>
      <c r="G13" s="6" t="s">
        <v>8</v>
      </c>
      <c r="H13" s="5" t="s">
        <v>5</v>
      </c>
      <c r="I13" s="5" t="s">
        <v>6</v>
      </c>
      <c r="J13" s="6" t="s">
        <v>8</v>
      </c>
      <c r="K13" s="5" t="s">
        <v>4</v>
      </c>
      <c r="L13" s="5" t="s">
        <v>6</v>
      </c>
      <c r="M13" s="6" t="s">
        <v>8</v>
      </c>
      <c r="N13" s="5" t="s">
        <v>4</v>
      </c>
      <c r="O13" s="5" t="s">
        <v>5</v>
      </c>
      <c r="P13" s="6" t="s">
        <v>8</v>
      </c>
    </row>
    <row r="14" spans="1:16" ht="14.4" thickBot="1" x14ac:dyDescent="0.3">
      <c r="A14" s="25"/>
      <c r="B14" s="28"/>
      <c r="C14" s="28"/>
      <c r="D14" s="14">
        <f>B2/SUM($B$2:$D$2,$F$2)</f>
        <v>0.33278072502210432</v>
      </c>
      <c r="E14" s="14">
        <f>C2/SUM($B$2:$D$2,$F$2)</f>
        <v>0.2662466843501326</v>
      </c>
      <c r="F14" s="14">
        <f>D2/SUM($B$2:$D$2,$F$2)</f>
        <v>0.19661803713527851</v>
      </c>
      <c r="G14" s="13">
        <f>F2/SUM($B$2:$D$2,$F$2)</f>
        <v>0.20435455349248449</v>
      </c>
      <c r="H14" s="14">
        <f>C2/SUM($C$2:$D$2,$F$2)</f>
        <v>0.3990392579095578</v>
      </c>
      <c r="I14" s="14">
        <f>D2/SUM($C$2:$D$2,$F$2)</f>
        <v>0.29468278946496607</v>
      </c>
      <c r="J14" s="13">
        <f>F2/SUM($C$2:$D$2,$F$2)</f>
        <v>0.30627795262547625</v>
      </c>
      <c r="K14" s="14">
        <f>B2/SUM($B$2,$D$2,$F$2)</f>
        <v>0.45353215845759903</v>
      </c>
      <c r="L14" s="14">
        <f>D2/SUM($B$2,$D$2,$F$2)</f>
        <v>0.26796204247627653</v>
      </c>
      <c r="M14" s="13">
        <f>F2/SUM($B$2,$D$2,$F$2)</f>
        <v>0.27850579906612438</v>
      </c>
      <c r="N14" s="14">
        <f>B2/SUM($B$2:$C$2,$F$2)</f>
        <v>0.41422479020498004</v>
      </c>
      <c r="O14" s="14">
        <f>C2/SUM($B$2:$C$2,$F$2)</f>
        <v>0.33140734626496082</v>
      </c>
      <c r="P14" s="13">
        <f>F2/SUM($B$2:$C$2,$F$2)</f>
        <v>0.25436786353005914</v>
      </c>
    </row>
    <row r="15" spans="1:16" x14ac:dyDescent="0.25">
      <c r="A15" s="25"/>
      <c r="B15" s="27" t="s">
        <v>15</v>
      </c>
      <c r="C15" s="9" t="s">
        <v>11</v>
      </c>
      <c r="D15" s="24" t="s">
        <v>26</v>
      </c>
      <c r="E15" s="24"/>
      <c r="F15" s="24"/>
      <c r="G15" s="25"/>
      <c r="H15" s="24" t="s">
        <v>4</v>
      </c>
      <c r="I15" s="24"/>
      <c r="J15" s="25"/>
      <c r="K15" s="24" t="s">
        <v>5</v>
      </c>
      <c r="L15" s="24"/>
      <c r="M15" s="25"/>
      <c r="N15" s="24" t="s">
        <v>6</v>
      </c>
      <c r="O15" s="24"/>
      <c r="P15" s="25"/>
    </row>
    <row r="16" spans="1:16" x14ac:dyDescent="0.25">
      <c r="A16" s="25"/>
      <c r="B16" s="27"/>
      <c r="C16" s="27" t="s">
        <v>24</v>
      </c>
      <c r="D16" s="5" t="s">
        <v>4</v>
      </c>
      <c r="E16" s="5" t="s">
        <v>5</v>
      </c>
      <c r="F16" s="5" t="s">
        <v>6</v>
      </c>
      <c r="G16" s="6" t="s">
        <v>7</v>
      </c>
      <c r="H16" s="5" t="s">
        <v>5</v>
      </c>
      <c r="I16" s="5" t="s">
        <v>6</v>
      </c>
      <c r="J16" s="6" t="s">
        <v>7</v>
      </c>
      <c r="K16" s="5" t="s">
        <v>4</v>
      </c>
      <c r="L16" s="5" t="s">
        <v>6</v>
      </c>
      <c r="M16" s="6" t="s">
        <v>7</v>
      </c>
      <c r="N16" s="5" t="s">
        <v>4</v>
      </c>
      <c r="O16" s="5" t="s">
        <v>5</v>
      </c>
      <c r="P16" s="6" t="s">
        <v>7</v>
      </c>
    </row>
    <row r="17" spans="1:16" ht="14.4" thickBot="1" x14ac:dyDescent="0.3">
      <c r="A17" s="29"/>
      <c r="B17" s="28"/>
      <c r="C17" s="28"/>
      <c r="D17" s="3">
        <f>B2/SUM($B$2:$E$2)</f>
        <v>0.33485320284697501</v>
      </c>
      <c r="E17" s="3">
        <f t="shared" ref="E17:G17" si="2">C2/SUM($B$2:$E$2)</f>
        <v>0.26790480427046259</v>
      </c>
      <c r="F17" s="3">
        <f t="shared" si="2"/>
        <v>0.1978425266903914</v>
      </c>
      <c r="G17" s="8">
        <f t="shared" si="2"/>
        <v>0.19939946619217078</v>
      </c>
      <c r="H17" s="21">
        <f>C2/SUM($C$2:$E$2)</f>
        <v>0.4027754556094299</v>
      </c>
      <c r="I17" s="21">
        <f t="shared" ref="I17:J17" si="3">D2/SUM($C$2:$E$2)</f>
        <v>0.29744189934793513</v>
      </c>
      <c r="J17" s="22">
        <f t="shared" si="3"/>
        <v>0.29978264504263502</v>
      </c>
      <c r="K17" s="3">
        <f>B2/SUM($B$2,$D$2:$E$2)</f>
        <v>0.45739024760747382</v>
      </c>
      <c r="L17" s="3">
        <f>D2/SUM($B$2,$D$2:$E$2)</f>
        <v>0.27024153121677047</v>
      </c>
      <c r="M17" s="8">
        <f>E2/SUM($B$2,$D$2:$E$2)</f>
        <v>0.27236822117575576</v>
      </c>
      <c r="N17" s="3">
        <f>B2/SUM($B$2:$C$2,$E$2)</f>
        <v>0.41744073201164567</v>
      </c>
      <c r="O17" s="3">
        <f>C2/SUM($B$2:$C$2,$E$2)</f>
        <v>0.33398031332316652</v>
      </c>
      <c r="P17" s="8">
        <f>E2/SUM($B$2:$C$2,$E$2)</f>
        <v>0.24857895466518787</v>
      </c>
    </row>
    <row r="18" spans="1:16" x14ac:dyDescent="0.25">
      <c r="A18" s="20"/>
      <c r="B18" s="20"/>
      <c r="C18" s="5"/>
    </row>
    <row r="19" spans="1:16" x14ac:dyDescent="0.25">
      <c r="A19" s="20"/>
      <c r="B19" s="20"/>
      <c r="C19" s="5"/>
      <c r="D19" s="5"/>
      <c r="E19" s="5"/>
    </row>
    <row r="20" spans="1:16" x14ac:dyDescent="0.25">
      <c r="A20" s="20"/>
      <c r="B20" s="20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6" x14ac:dyDescent="0.25">
      <c r="A21" s="20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6" x14ac:dyDescent="0.25">
      <c r="A22" s="20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6" x14ac:dyDescent="0.25">
      <c r="A23" s="20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6" x14ac:dyDescent="0.25">
      <c r="A24" s="20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6" x14ac:dyDescent="0.25">
      <c r="A25" s="20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6" x14ac:dyDescent="0.25">
      <c r="A26" s="20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6" x14ac:dyDescent="0.25">
      <c r="A27" s="20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6" x14ac:dyDescent="0.25">
      <c r="A28" s="20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6" x14ac:dyDescent="0.25">
      <c r="A29" s="20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6" x14ac:dyDescent="0.25">
      <c r="A30" s="20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6" x14ac:dyDescent="0.25">
      <c r="A31" s="20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6" x14ac:dyDescent="0.25">
      <c r="A32" s="20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x14ac:dyDescent="0.25">
      <c r="A33" s="20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25">
      <c r="A34" s="20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x14ac:dyDescent="0.25">
      <c r="A35" s="20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</sheetData>
  <mergeCells count="31">
    <mergeCell ref="A3:A17"/>
    <mergeCell ref="B12:B14"/>
    <mergeCell ref="D15:G15"/>
    <mergeCell ref="H15:J15"/>
    <mergeCell ref="D6:H6"/>
    <mergeCell ref="I6:L6"/>
    <mergeCell ref="B3:B5"/>
    <mergeCell ref="K15:M15"/>
    <mergeCell ref="N15:P15"/>
    <mergeCell ref="B15:B17"/>
    <mergeCell ref="H9:K9"/>
    <mergeCell ref="L9:O9"/>
    <mergeCell ref="C13:C14"/>
    <mergeCell ref="C16:C17"/>
    <mergeCell ref="H12:J12"/>
    <mergeCell ref="N12:P12"/>
    <mergeCell ref="D12:G12"/>
    <mergeCell ref="K12:M12"/>
    <mergeCell ref="C10:C11"/>
    <mergeCell ref="B6:B11"/>
    <mergeCell ref="M6:P6"/>
    <mergeCell ref="D9:G9"/>
    <mergeCell ref="F3:G3"/>
    <mergeCell ref="H3:I3"/>
    <mergeCell ref="C4:C5"/>
    <mergeCell ref="F4:G4"/>
    <mergeCell ref="H4:I4"/>
    <mergeCell ref="F5:G5"/>
    <mergeCell ref="H5:I5"/>
    <mergeCell ref="D3:E3"/>
    <mergeCell ref="C7:C8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6F6D-2B98-44BD-8F77-73B757C4CAC0}">
  <dimension ref="A1:O37"/>
  <sheetViews>
    <sheetView tabSelected="1" topLeftCell="A15" zoomScale="130" zoomScaleNormal="130" workbookViewId="0">
      <selection activeCell="J28" sqref="J28"/>
    </sheetView>
  </sheetViews>
  <sheetFormatPr defaultRowHeight="13.8" x14ac:dyDescent="0.25"/>
  <cols>
    <col min="1" max="1" width="8.88671875" style="19"/>
    <col min="2" max="2" width="11.6640625" style="19" bestFit="1" customWidth="1"/>
    <col min="3" max="16384" width="8.88671875" style="19"/>
  </cols>
  <sheetData>
    <row r="1" spans="1:15" hidden="1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/>
      <c r="H1" s="5"/>
      <c r="I1" s="5"/>
    </row>
    <row r="2" spans="1:15" hidden="1" x14ac:dyDescent="0.25">
      <c r="A2" s="5">
        <v>23.18</v>
      </c>
      <c r="B2" s="5">
        <v>30.11</v>
      </c>
      <c r="C2" s="5">
        <v>24.09</v>
      </c>
      <c r="D2" s="5">
        <v>17.79</v>
      </c>
      <c r="E2" s="5">
        <v>17.93</v>
      </c>
      <c r="F2" s="5">
        <v>18.489999999999998</v>
      </c>
      <c r="G2" s="5"/>
      <c r="H2" s="5"/>
      <c r="I2" s="5"/>
    </row>
    <row r="3" spans="1:15" x14ac:dyDescent="0.25">
      <c r="A3" s="25" t="s">
        <v>22</v>
      </c>
      <c r="B3" s="27" t="s">
        <v>12</v>
      </c>
      <c r="C3" s="9" t="s">
        <v>11</v>
      </c>
      <c r="D3" s="24" t="s">
        <v>3</v>
      </c>
      <c r="E3" s="25"/>
      <c r="F3" s="24" t="s">
        <v>4</v>
      </c>
      <c r="G3" s="25"/>
      <c r="H3" s="24" t="s">
        <v>5</v>
      </c>
      <c r="I3" s="25"/>
      <c r="J3" s="24" t="s">
        <v>16</v>
      </c>
      <c r="K3" s="24"/>
      <c r="L3" s="25"/>
      <c r="M3" s="6"/>
      <c r="N3" s="5"/>
      <c r="O3" s="5"/>
    </row>
    <row r="4" spans="1:15" x14ac:dyDescent="0.25">
      <c r="A4" s="25"/>
      <c r="B4" s="27"/>
      <c r="C4" s="27" t="s">
        <v>23</v>
      </c>
      <c r="D4" s="5" t="s">
        <v>4</v>
      </c>
      <c r="E4" s="6" t="s">
        <v>5</v>
      </c>
      <c r="F4" s="5" t="s">
        <v>3</v>
      </c>
      <c r="G4" s="6" t="s">
        <v>5</v>
      </c>
      <c r="H4" s="5" t="s">
        <v>3</v>
      </c>
      <c r="I4" s="6" t="s">
        <v>4</v>
      </c>
      <c r="J4" s="5" t="s">
        <v>3</v>
      </c>
      <c r="K4" s="5" t="s">
        <v>4</v>
      </c>
      <c r="L4" s="6" t="s">
        <v>5</v>
      </c>
      <c r="M4" s="6"/>
    </row>
    <row r="5" spans="1:15" ht="14.4" thickBot="1" x14ac:dyDescent="0.3">
      <c r="A5" s="25"/>
      <c r="B5" s="28"/>
      <c r="C5" s="28"/>
      <c r="D5" s="3">
        <f>B2/SUM($B$2,$C$2)</f>
        <v>0.55553505535055347</v>
      </c>
      <c r="E5" s="8">
        <f>C2/SUM($B$2,$C$2)</f>
        <v>0.44446494464944647</v>
      </c>
      <c r="F5" s="3">
        <f>A2/SUM($A$2,$C$2)</f>
        <v>0.49037444467950075</v>
      </c>
      <c r="G5" s="8">
        <f>C2/SUM($A$2,$C$2)</f>
        <v>0.50962555532049925</v>
      </c>
      <c r="H5" s="3">
        <f>A2/SUM($A$2:$B$2)</f>
        <v>0.43497841996622255</v>
      </c>
      <c r="I5" s="8">
        <f>B2/SUM($A$2:$B$2)</f>
        <v>0.56502158003377745</v>
      </c>
      <c r="J5" s="3">
        <f>A2/SUM($A$2:$C$2)</f>
        <v>0.29956060997673817</v>
      </c>
      <c r="K5" s="3">
        <f t="shared" ref="K5:L5" si="0">B2/SUM($A$2:$C$2)</f>
        <v>0.38911863530628071</v>
      </c>
      <c r="L5" s="8">
        <f t="shared" si="0"/>
        <v>0.31132075471698117</v>
      </c>
      <c r="M5" s="7"/>
      <c r="N5" s="23"/>
    </row>
    <row r="6" spans="1:15" x14ac:dyDescent="0.25">
      <c r="A6" s="25"/>
      <c r="B6" s="27" t="s">
        <v>13</v>
      </c>
      <c r="C6" s="9" t="s">
        <v>11</v>
      </c>
      <c r="D6" s="24" t="s">
        <v>3</v>
      </c>
      <c r="E6" s="24"/>
      <c r="F6" s="24"/>
      <c r="G6" s="24"/>
      <c r="H6" s="25"/>
      <c r="I6" s="24" t="s">
        <v>4</v>
      </c>
      <c r="J6" s="24"/>
      <c r="K6" s="24"/>
      <c r="L6" s="24"/>
      <c r="M6" s="25"/>
    </row>
    <row r="7" spans="1:15" x14ac:dyDescent="0.25">
      <c r="A7" s="25"/>
      <c r="B7" s="27"/>
      <c r="C7" s="27" t="s">
        <v>23</v>
      </c>
      <c r="D7" s="5" t="s">
        <v>4</v>
      </c>
      <c r="E7" s="5" t="s">
        <v>5</v>
      </c>
      <c r="F7" s="5" t="s">
        <v>6</v>
      </c>
      <c r="G7" s="5" t="s">
        <v>7</v>
      </c>
      <c r="H7" s="6" t="s">
        <v>8</v>
      </c>
      <c r="I7" s="5" t="s">
        <v>3</v>
      </c>
      <c r="J7" s="5" t="s">
        <v>5</v>
      </c>
      <c r="K7" s="5" t="s">
        <v>6</v>
      </c>
      <c r="L7" s="5" t="s">
        <v>7</v>
      </c>
      <c r="M7" s="6" t="s">
        <v>8</v>
      </c>
    </row>
    <row r="8" spans="1:15" ht="14.4" thickBot="1" x14ac:dyDescent="0.3">
      <c r="A8" s="25"/>
      <c r="B8" s="27"/>
      <c r="C8" s="28"/>
      <c r="D8" s="12">
        <f>B2/SUM($B$2:$F$2)</f>
        <v>0.2777419057282538</v>
      </c>
      <c r="E8" s="3">
        <f t="shared" ref="E8:G8" si="1">C2/SUM($B$2:$F$2)</f>
        <v>0.22221197306521537</v>
      </c>
      <c r="F8" s="3">
        <f t="shared" si="1"/>
        <v>0.16409925283645418</v>
      </c>
      <c r="G8" s="3">
        <f t="shared" si="1"/>
        <v>0.16539064661931555</v>
      </c>
      <c r="H8" s="8">
        <f>F2/SUM($B$2:$F$2)</f>
        <v>0.17055622175076096</v>
      </c>
      <c r="I8" s="3">
        <f>A2/SUM($A$2,$C$2:$F$2)</f>
        <v>0.22841939298383918</v>
      </c>
      <c r="J8" s="3">
        <f>C2/SUM($A$2,$C$2:$F$2)</f>
        <v>0.23738667717776901</v>
      </c>
      <c r="K8" s="3">
        <f>D2/SUM($A$2,$C$2:$F$2)</f>
        <v>0.17530547891210088</v>
      </c>
      <c r="L8" s="3">
        <f>E2/SUM($A$2,$C$2:$F$2)</f>
        <v>0.17668506109578241</v>
      </c>
      <c r="M8" s="8">
        <f>F2/SUM($A$2,$C$2:$F$2)</f>
        <v>0.18220338983050846</v>
      </c>
    </row>
    <row r="9" spans="1:15" x14ac:dyDescent="0.25">
      <c r="A9" s="25"/>
      <c r="B9" s="27"/>
      <c r="C9" s="9" t="s">
        <v>11</v>
      </c>
      <c r="D9" s="24" t="s">
        <v>5</v>
      </c>
      <c r="E9" s="24"/>
      <c r="F9" s="24"/>
      <c r="G9" s="24"/>
      <c r="H9" s="25"/>
      <c r="I9" s="24" t="s">
        <v>6</v>
      </c>
      <c r="J9" s="24"/>
      <c r="K9" s="24"/>
      <c r="L9" s="24"/>
      <c r="M9" s="25"/>
    </row>
    <row r="10" spans="1:15" x14ac:dyDescent="0.25">
      <c r="A10" s="25"/>
      <c r="B10" s="27"/>
      <c r="C10" s="27" t="s">
        <v>23</v>
      </c>
      <c r="D10" s="5" t="s">
        <v>3</v>
      </c>
      <c r="E10" s="5" t="s">
        <v>4</v>
      </c>
      <c r="F10" s="5" t="s">
        <v>6</v>
      </c>
      <c r="G10" s="5" t="s">
        <v>7</v>
      </c>
      <c r="H10" s="6" t="s">
        <v>8</v>
      </c>
      <c r="I10" s="5" t="s">
        <v>3</v>
      </c>
      <c r="J10" s="5" t="s">
        <v>4</v>
      </c>
      <c r="K10" s="5" t="s">
        <v>5</v>
      </c>
      <c r="L10" s="5" t="s">
        <v>7</v>
      </c>
      <c r="M10" s="6" t="s">
        <v>8</v>
      </c>
    </row>
    <row r="11" spans="1:15" ht="14.4" thickBot="1" x14ac:dyDescent="0.3">
      <c r="A11" s="25"/>
      <c r="B11" s="27"/>
      <c r="C11" s="28"/>
      <c r="D11" s="12">
        <f>A2/SUM($A$2:$B$2,$D$2:$F$2)</f>
        <v>0.21562790697674422</v>
      </c>
      <c r="E11" s="3">
        <f t="shared" ref="E11" si="2">B2/SUM($A$2:$B$2,$D$2:$F$2)</f>
        <v>0.28009302325581398</v>
      </c>
      <c r="F11" s="3">
        <f>D2/SUM($A$2:$B$2,$D$2:$F$2)</f>
        <v>0.16548837209302328</v>
      </c>
      <c r="G11" s="3">
        <f>E2/SUM($A$2:$B$2,$D$2:$F$2)</f>
        <v>0.16679069767441862</v>
      </c>
      <c r="H11" s="8">
        <f>F2/SUM($A$2:$B$2,$D$2:$F$2)</f>
        <v>0.17200000000000001</v>
      </c>
      <c r="I11" s="3">
        <f>A2/SUM($A$2:$C$2,$E$2:$F$2)</f>
        <v>0.20369068541300528</v>
      </c>
      <c r="J11" s="3">
        <f t="shared" ref="J11:K11" si="3">B2/SUM($A$2:$C$2,$E$2:$F$2)</f>
        <v>0.26458699472759228</v>
      </c>
      <c r="K11" s="3">
        <f t="shared" si="3"/>
        <v>0.21168717047451671</v>
      </c>
      <c r="L11" s="3">
        <f>E2/SUM($A$2:$C$2,$E$2:$F$2)</f>
        <v>0.15755711775043937</v>
      </c>
      <c r="M11" s="8">
        <f>F2/SUM($A$2:$C$2,$E$2:$F$2)</f>
        <v>0.16247803163444638</v>
      </c>
    </row>
    <row r="12" spans="1:15" x14ac:dyDescent="0.25">
      <c r="A12" s="25"/>
      <c r="B12" s="27"/>
      <c r="C12" s="9" t="s">
        <v>11</v>
      </c>
      <c r="D12" s="24" t="s">
        <v>7</v>
      </c>
      <c r="E12" s="24"/>
      <c r="F12" s="24"/>
      <c r="G12" s="24"/>
      <c r="H12" s="25"/>
      <c r="I12" s="24" t="s">
        <v>8</v>
      </c>
      <c r="J12" s="24"/>
      <c r="K12" s="24"/>
      <c r="L12" s="24"/>
      <c r="M12" s="25"/>
    </row>
    <row r="13" spans="1:15" x14ac:dyDescent="0.25">
      <c r="A13" s="25"/>
      <c r="B13" s="27"/>
      <c r="C13" s="27" t="s">
        <v>23</v>
      </c>
      <c r="D13" s="5" t="s">
        <v>3</v>
      </c>
      <c r="E13" s="5" t="s">
        <v>4</v>
      </c>
      <c r="F13" s="5" t="s">
        <v>5</v>
      </c>
      <c r="G13" s="5" t="s">
        <v>6</v>
      </c>
      <c r="H13" s="6" t="s">
        <v>8</v>
      </c>
      <c r="I13" s="5" t="s">
        <v>3</v>
      </c>
      <c r="J13" s="5" t="s">
        <v>4</v>
      </c>
      <c r="K13" s="5" t="s">
        <v>5</v>
      </c>
      <c r="L13" s="5" t="s">
        <v>6</v>
      </c>
      <c r="M13" s="6" t="s">
        <v>7</v>
      </c>
    </row>
    <row r="14" spans="1:15" ht="14.4" thickBot="1" x14ac:dyDescent="0.3">
      <c r="A14" s="25"/>
      <c r="B14" s="27"/>
      <c r="C14" s="28"/>
      <c r="D14" s="12">
        <f>A2/SUM($A$2:$D$2,$F$2)</f>
        <v>0.20394158015132854</v>
      </c>
      <c r="E14" s="3">
        <f t="shared" ref="E14:G14" si="4">B2/SUM($A$2:$D$2,$F$2)</f>
        <v>0.26491289811719165</v>
      </c>
      <c r="F14" s="3">
        <f t="shared" si="4"/>
        <v>0.21194791483371461</v>
      </c>
      <c r="G14" s="3">
        <f t="shared" si="4"/>
        <v>0.15651944395565723</v>
      </c>
      <c r="H14" s="8">
        <f>F2/SUM($A$2:$D$2,$F$2)</f>
        <v>0.16267816294210805</v>
      </c>
      <c r="I14" s="3">
        <f>A2/SUM($A$2:$E$2)</f>
        <v>0.20495137046861187</v>
      </c>
      <c r="J14" s="3">
        <f t="shared" ref="J14:M14" si="5">B2/SUM($A$2:$E$2)</f>
        <v>0.26622458001768345</v>
      </c>
      <c r="K14" s="3">
        <f t="shared" si="5"/>
        <v>0.2129973474801061</v>
      </c>
      <c r="L14" s="3">
        <f t="shared" si="5"/>
        <v>0.1572944297082228</v>
      </c>
      <c r="M14" s="8">
        <f t="shared" si="5"/>
        <v>0.15853227232537578</v>
      </c>
    </row>
    <row r="15" spans="1:15" x14ac:dyDescent="0.25">
      <c r="A15" s="25"/>
      <c r="B15" s="27"/>
      <c r="C15" s="9" t="s">
        <v>11</v>
      </c>
      <c r="D15" s="24" t="s">
        <v>18</v>
      </c>
      <c r="E15" s="24"/>
      <c r="F15" s="24"/>
      <c r="G15" s="24"/>
      <c r="H15" s="24"/>
      <c r="I15" s="25"/>
      <c r="J15" s="5"/>
      <c r="K15" s="5"/>
      <c r="L15" s="5"/>
      <c r="M15" s="6"/>
    </row>
    <row r="16" spans="1:15" x14ac:dyDescent="0.25">
      <c r="A16" s="25"/>
      <c r="B16" s="27"/>
      <c r="C16" s="27" t="s">
        <v>23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6" t="s">
        <v>8</v>
      </c>
      <c r="J16" s="5"/>
      <c r="K16" s="5"/>
      <c r="L16" s="5"/>
      <c r="M16" s="6"/>
    </row>
    <row r="17" spans="1:14" ht="14.4" thickBot="1" x14ac:dyDescent="0.3">
      <c r="A17" s="25"/>
      <c r="B17" s="28"/>
      <c r="C17" s="28"/>
      <c r="D17" s="3">
        <f>A2/SUM($A$2:$F$2)</f>
        <v>0.17615320313093699</v>
      </c>
      <c r="E17" s="3">
        <f t="shared" ref="E17:I17" si="6">B2/SUM($A$2:$F$2)</f>
        <v>0.22881677939053119</v>
      </c>
      <c r="F17" s="3">
        <f t="shared" si="6"/>
        <v>0.1830686222357322</v>
      </c>
      <c r="G17" s="3">
        <f t="shared" si="6"/>
        <v>0.13519264381791929</v>
      </c>
      <c r="H17" s="3">
        <f t="shared" si="6"/>
        <v>0.13625655444942625</v>
      </c>
      <c r="I17" s="8">
        <f t="shared" si="6"/>
        <v>0.14051219697545406</v>
      </c>
      <c r="J17" s="4"/>
      <c r="K17" s="4"/>
      <c r="L17" s="4"/>
      <c r="M17" s="7"/>
    </row>
    <row r="18" spans="1:14" x14ac:dyDescent="0.25">
      <c r="A18" s="25"/>
      <c r="B18" s="27" t="s">
        <v>14</v>
      </c>
      <c r="C18" s="9" t="s">
        <v>11</v>
      </c>
      <c r="D18" s="24" t="s">
        <v>3</v>
      </c>
      <c r="E18" s="24"/>
      <c r="F18" s="24"/>
      <c r="G18" s="25"/>
      <c r="H18" s="24" t="s">
        <v>4</v>
      </c>
      <c r="I18" s="24"/>
      <c r="J18" s="24"/>
      <c r="K18" s="25"/>
      <c r="L18" s="5"/>
      <c r="M18" s="6"/>
      <c r="N18" s="23"/>
    </row>
    <row r="19" spans="1:14" x14ac:dyDescent="0.25">
      <c r="A19" s="25"/>
      <c r="B19" s="27"/>
      <c r="C19" s="27" t="s">
        <v>23</v>
      </c>
      <c r="D19" s="5" t="s">
        <v>4</v>
      </c>
      <c r="E19" s="5" t="s">
        <v>5</v>
      </c>
      <c r="F19" s="5" t="s">
        <v>6</v>
      </c>
      <c r="G19" s="6" t="s">
        <v>8</v>
      </c>
      <c r="H19" s="5" t="s">
        <v>3</v>
      </c>
      <c r="I19" s="5" t="s">
        <v>5</v>
      </c>
      <c r="J19" s="5" t="s">
        <v>6</v>
      </c>
      <c r="K19" s="6" t="s">
        <v>8</v>
      </c>
      <c r="L19" s="5"/>
      <c r="M19" s="6"/>
    </row>
    <row r="20" spans="1:14" ht="14.4" thickBot="1" x14ac:dyDescent="0.3">
      <c r="A20" s="25"/>
      <c r="B20" s="27"/>
      <c r="C20" s="28"/>
      <c r="D20" s="12">
        <f>B2/SUM($B$2:$D$2,$F$2)</f>
        <v>0.33278072502210432</v>
      </c>
      <c r="E20" s="3">
        <f t="shared" ref="E20:F20" si="7">C2/SUM($B$2:$D$2,$F$2)</f>
        <v>0.2662466843501326</v>
      </c>
      <c r="F20" s="3">
        <f t="shared" si="7"/>
        <v>0.19661803713527851</v>
      </c>
      <c r="G20" s="8">
        <f>F2/SUM($B$2:$D$2,$F$2)</f>
        <v>0.20435455349248449</v>
      </c>
      <c r="H20" s="3">
        <f>A2/SUM($A$2,$C$2:$D$2,$F$2)</f>
        <v>0.27743865948533813</v>
      </c>
      <c r="I20" s="3">
        <f>C2/SUM($A$2,$C$2:$D$2,$F$2)</f>
        <v>0.28833034111310596</v>
      </c>
      <c r="J20" s="3">
        <f>D2/SUM($A$2,$C$2:$D$2,$F$2)</f>
        <v>0.21292639138240574</v>
      </c>
      <c r="K20" s="8">
        <f>F2/SUM($A$2,$C$2:$D$2,$F$2)</f>
        <v>0.2213046080191502</v>
      </c>
      <c r="L20" s="18"/>
      <c r="M20" s="15"/>
    </row>
    <row r="21" spans="1:14" x14ac:dyDescent="0.25">
      <c r="A21" s="25"/>
      <c r="B21" s="27"/>
      <c r="C21" s="9" t="s">
        <v>11</v>
      </c>
      <c r="D21" s="24" t="s">
        <v>5</v>
      </c>
      <c r="E21" s="24"/>
      <c r="F21" s="24"/>
      <c r="G21" s="25"/>
      <c r="H21" s="24" t="s">
        <v>6</v>
      </c>
      <c r="I21" s="24"/>
      <c r="J21" s="24"/>
      <c r="K21" s="25"/>
      <c r="L21" s="5"/>
      <c r="M21" s="6"/>
    </row>
    <row r="22" spans="1:14" x14ac:dyDescent="0.25">
      <c r="A22" s="25"/>
      <c r="B22" s="27"/>
      <c r="C22" s="27" t="s">
        <v>23</v>
      </c>
      <c r="D22" s="5" t="s">
        <v>3</v>
      </c>
      <c r="E22" s="5" t="s">
        <v>4</v>
      </c>
      <c r="F22" s="5" t="s">
        <v>6</v>
      </c>
      <c r="G22" s="6" t="s">
        <v>8</v>
      </c>
      <c r="H22" s="5" t="s">
        <v>3</v>
      </c>
      <c r="I22" s="5" t="s">
        <v>4</v>
      </c>
      <c r="J22" s="5" t="s">
        <v>5</v>
      </c>
      <c r="K22" s="6" t="s">
        <v>8</v>
      </c>
      <c r="L22" s="5"/>
      <c r="M22" s="6"/>
    </row>
    <row r="23" spans="1:14" ht="14.4" thickBot="1" x14ac:dyDescent="0.3">
      <c r="A23" s="25"/>
      <c r="B23" s="27"/>
      <c r="C23" s="28"/>
      <c r="D23" s="12">
        <f>A2/SUM($A$2:$B$2,$D$2,$F$2)</f>
        <v>0.25879200625209337</v>
      </c>
      <c r="E23" s="3">
        <f t="shared" ref="E23" si="8">B2/SUM($A$2:$B$2,$D$2,$F$2)</f>
        <v>0.33616166127051472</v>
      </c>
      <c r="F23" s="3">
        <f>D2/SUM($A$2:$B$2,$D$2,$F$2)</f>
        <v>0.19861560790443231</v>
      </c>
      <c r="G23" s="8">
        <f>F2/SUM($A$2:$B$2,$D$2,$F$2)</f>
        <v>0.20643072457295969</v>
      </c>
      <c r="H23" s="3">
        <f>A2/SUM($A$2:$C$2,$F$2)</f>
        <v>0.24178575153854179</v>
      </c>
      <c r="I23" s="3">
        <f t="shared" ref="I23:J23" si="9">B2/SUM($A$2:$C$2,$F$2)</f>
        <v>0.31407113799937419</v>
      </c>
      <c r="J23" s="3">
        <f t="shared" si="9"/>
        <v>0.25127777198289353</v>
      </c>
      <c r="K23" s="8">
        <f>F2/SUM($A$2:$C$2,$F$2)</f>
        <v>0.19286533847919057</v>
      </c>
      <c r="L23" s="4"/>
      <c r="M23" s="7"/>
    </row>
    <row r="24" spans="1:14" x14ac:dyDescent="0.25">
      <c r="A24" s="25"/>
      <c r="B24" s="27"/>
      <c r="C24" s="9" t="s">
        <v>11</v>
      </c>
      <c r="D24" s="24" t="s">
        <v>8</v>
      </c>
      <c r="E24" s="24"/>
      <c r="F24" s="24"/>
      <c r="G24" s="25"/>
      <c r="H24" s="24" t="s">
        <v>18</v>
      </c>
      <c r="I24" s="24"/>
      <c r="J24" s="24"/>
      <c r="K24" s="24"/>
      <c r="L24" s="25"/>
      <c r="M24" s="6"/>
    </row>
    <row r="25" spans="1:14" x14ac:dyDescent="0.25">
      <c r="A25" s="25"/>
      <c r="B25" s="27"/>
      <c r="C25" s="27" t="s">
        <v>23</v>
      </c>
      <c r="D25" s="5" t="s">
        <v>3</v>
      </c>
      <c r="E25" s="5" t="s">
        <v>4</v>
      </c>
      <c r="F25" s="5" t="s">
        <v>5</v>
      </c>
      <c r="G25" s="6" t="s">
        <v>6</v>
      </c>
      <c r="H25" s="5" t="s">
        <v>3</v>
      </c>
      <c r="I25" s="5" t="s">
        <v>4</v>
      </c>
      <c r="J25" s="5" t="s">
        <v>5</v>
      </c>
      <c r="K25" s="5" t="s">
        <v>6</v>
      </c>
      <c r="L25" s="6" t="s">
        <v>8</v>
      </c>
      <c r="M25" s="6"/>
      <c r="N25" s="23"/>
    </row>
    <row r="26" spans="1:14" ht="14.4" thickBot="1" x14ac:dyDescent="0.3">
      <c r="A26" s="25"/>
      <c r="B26" s="28"/>
      <c r="C26" s="28"/>
      <c r="D26" s="3">
        <f>A2/SUM($A$2:$D$2)</f>
        <v>0.24356414836608178</v>
      </c>
      <c r="E26" s="3">
        <f t="shared" ref="E26:G26" si="10">B2/SUM($A$2:$D$2)</f>
        <v>0.31638121256698543</v>
      </c>
      <c r="F26" s="3">
        <f t="shared" si="10"/>
        <v>0.25312598507933176</v>
      </c>
      <c r="G26" s="8">
        <f t="shared" si="10"/>
        <v>0.18692865398760114</v>
      </c>
      <c r="H26" s="3">
        <f>A2/SUM($A$2:$D$2,$F$2)</f>
        <v>0.20394158015132854</v>
      </c>
      <c r="I26" s="3">
        <f t="shared" ref="I26:K26" si="11">B2/SUM($A$2:$D$2,$F$2)</f>
        <v>0.26491289811719165</v>
      </c>
      <c r="J26" s="3">
        <f t="shared" si="11"/>
        <v>0.21194791483371461</v>
      </c>
      <c r="K26" s="3">
        <f t="shared" si="11"/>
        <v>0.15651944395565723</v>
      </c>
      <c r="L26" s="8">
        <f>F2/SUM($A$2:$D$2,$F$2)</f>
        <v>0.16267816294210805</v>
      </c>
      <c r="M26" s="7"/>
    </row>
    <row r="27" spans="1:14" x14ac:dyDescent="0.25">
      <c r="A27" s="25"/>
      <c r="B27" s="27" t="s">
        <v>15</v>
      </c>
      <c r="C27" s="9" t="s">
        <v>11</v>
      </c>
      <c r="D27" s="24" t="s">
        <v>3</v>
      </c>
      <c r="E27" s="24"/>
      <c r="F27" s="25"/>
      <c r="G27" s="24" t="s">
        <v>4</v>
      </c>
      <c r="H27" s="24"/>
      <c r="I27" s="25"/>
      <c r="J27" s="24" t="s">
        <v>25</v>
      </c>
      <c r="K27" s="24"/>
      <c r="L27" s="24"/>
      <c r="M27" s="25"/>
    </row>
    <row r="28" spans="1:14" x14ac:dyDescent="0.25">
      <c r="A28" s="25"/>
      <c r="B28" s="27"/>
      <c r="C28" s="27" t="s">
        <v>23</v>
      </c>
      <c r="D28" s="5" t="s">
        <v>4</v>
      </c>
      <c r="E28" s="5" t="s">
        <v>6</v>
      </c>
      <c r="F28" s="6" t="s">
        <v>7</v>
      </c>
      <c r="G28" s="5" t="s">
        <v>3</v>
      </c>
      <c r="H28" s="5" t="s">
        <v>6</v>
      </c>
      <c r="I28" s="6" t="s">
        <v>7</v>
      </c>
      <c r="J28" s="5" t="s">
        <v>3</v>
      </c>
      <c r="K28" s="5" t="s">
        <v>4</v>
      </c>
      <c r="L28" s="5" t="s">
        <v>6</v>
      </c>
      <c r="M28" s="6" t="s">
        <v>7</v>
      </c>
    </row>
    <row r="29" spans="1:14" ht="14.4" thickBot="1" x14ac:dyDescent="0.3">
      <c r="A29" s="25"/>
      <c r="B29" s="27"/>
      <c r="C29" s="28"/>
      <c r="D29" s="12">
        <f>B2/SUM($B$2,$D$2,$E$2)</f>
        <v>0.45739024760747382</v>
      </c>
      <c r="E29" s="3">
        <f>D2/SUM($B$2,$D$2,$E$2)</f>
        <v>0.27024153121677047</v>
      </c>
      <c r="F29" s="8">
        <f>E2/SUM($B$2,$D$2,$E$2)</f>
        <v>0.27236822117575576</v>
      </c>
      <c r="G29" s="3">
        <f>A2/SUM($A$2,$D$2,$E$2)</f>
        <v>0.3935483870967742</v>
      </c>
      <c r="H29" s="3">
        <f>D2/SUM($A$2,$D$2,$E$2)</f>
        <v>0.30203735144312394</v>
      </c>
      <c r="I29" s="8">
        <f>E2/SUM($A$2,$D$2,$E$2)</f>
        <v>0.30441426146010186</v>
      </c>
      <c r="J29" s="3">
        <f>A2/SUM($A$2:$B$2,$D$2:$E$2)</f>
        <v>0.26042017750814517</v>
      </c>
      <c r="K29" s="3">
        <f t="shared" ref="K29" si="12">B2/SUM($A$2:$B$2,$D$2:$E$2)</f>
        <v>0.33827659813504102</v>
      </c>
      <c r="L29" s="3">
        <f>D2/SUM($A$2:$B$2,$D$2:$E$2)</f>
        <v>0.19986518368722617</v>
      </c>
      <c r="M29" s="8">
        <f>E2/SUM($A$2:$B$2,$D$2:$E$2)</f>
        <v>0.2014380406695877</v>
      </c>
    </row>
    <row r="30" spans="1:14" x14ac:dyDescent="0.25">
      <c r="A30" s="25"/>
      <c r="B30" s="27"/>
      <c r="C30" s="9" t="s">
        <v>11</v>
      </c>
      <c r="D30" s="24" t="s">
        <v>6</v>
      </c>
      <c r="E30" s="24"/>
      <c r="F30" s="25"/>
      <c r="G30" s="24" t="s">
        <v>7</v>
      </c>
      <c r="H30" s="24"/>
      <c r="I30" s="25"/>
      <c r="J30" s="24"/>
      <c r="K30" s="24"/>
      <c r="L30" s="24"/>
      <c r="M30" s="25"/>
    </row>
    <row r="31" spans="1:14" x14ac:dyDescent="0.25">
      <c r="A31" s="25"/>
      <c r="B31" s="27"/>
      <c r="C31" s="27" t="s">
        <v>23</v>
      </c>
      <c r="D31" s="5" t="s">
        <v>3</v>
      </c>
      <c r="E31" s="5" t="s">
        <v>4</v>
      </c>
      <c r="F31" s="6" t="s">
        <v>7</v>
      </c>
      <c r="G31" s="5" t="s">
        <v>3</v>
      </c>
      <c r="H31" s="5" t="s">
        <v>4</v>
      </c>
      <c r="I31" s="6" t="s">
        <v>6</v>
      </c>
      <c r="J31" s="5"/>
      <c r="K31" s="5"/>
      <c r="L31" s="5"/>
      <c r="M31" s="6"/>
    </row>
    <row r="32" spans="1:14" ht="14.4" thickBot="1" x14ac:dyDescent="0.3">
      <c r="A32" s="29"/>
      <c r="B32" s="28"/>
      <c r="C32" s="28"/>
      <c r="D32" s="3">
        <f>A2/SUM($A$2:$B$2,$E$2)</f>
        <v>0.32547037349059255</v>
      </c>
      <c r="E32" s="3">
        <f t="shared" ref="E32" si="13">B2/SUM($A$2:$B$2,$E$2)</f>
        <v>0.42277450154450996</v>
      </c>
      <c r="F32" s="8">
        <f>E2/SUM($A$2:$B$2,$E$2)</f>
        <v>0.25175512496489749</v>
      </c>
      <c r="G32" s="3">
        <f>A2/SUM($A$2:$B$2,$D$2)</f>
        <v>0.32611142374788971</v>
      </c>
      <c r="H32" s="3">
        <f>B2/SUM($A$2:$B$2,$D$2)</f>
        <v>0.42360720315137873</v>
      </c>
      <c r="I32" s="8">
        <f>D2/SUM($A$2:$B$2,$D$2)</f>
        <v>0.25028137310073156</v>
      </c>
      <c r="J32" s="3"/>
      <c r="K32" s="3"/>
      <c r="L32" s="3"/>
      <c r="M32" s="8"/>
    </row>
    <row r="37" spans="12:12" x14ac:dyDescent="0.25">
      <c r="L37" s="23"/>
    </row>
  </sheetData>
  <mergeCells count="38">
    <mergeCell ref="C25:C26"/>
    <mergeCell ref="C22:C23"/>
    <mergeCell ref="D27:F27"/>
    <mergeCell ref="D30:F30"/>
    <mergeCell ref="G30:I30"/>
    <mergeCell ref="J30:M30"/>
    <mergeCell ref="C31:C32"/>
    <mergeCell ref="C28:C29"/>
    <mergeCell ref="I6:M6"/>
    <mergeCell ref="C7:C8"/>
    <mergeCell ref="D9:H9"/>
    <mergeCell ref="B3:B5"/>
    <mergeCell ref="D15:I15"/>
    <mergeCell ref="D3:E3"/>
    <mergeCell ref="F3:G3"/>
    <mergeCell ref="H3:I3"/>
    <mergeCell ref="J3:L3"/>
    <mergeCell ref="I9:M9"/>
    <mergeCell ref="C10:C11"/>
    <mergeCell ref="D12:H12"/>
    <mergeCell ref="I12:M12"/>
    <mergeCell ref="C13:C14"/>
    <mergeCell ref="A3:A32"/>
    <mergeCell ref="B27:B32"/>
    <mergeCell ref="C4:C5"/>
    <mergeCell ref="B6:B17"/>
    <mergeCell ref="D6:H6"/>
    <mergeCell ref="C16:C17"/>
    <mergeCell ref="B18:B26"/>
    <mergeCell ref="D18:G18"/>
    <mergeCell ref="H18:K18"/>
    <mergeCell ref="C19:C20"/>
    <mergeCell ref="D21:G21"/>
    <mergeCell ref="H21:K21"/>
    <mergeCell ref="D24:G24"/>
    <mergeCell ref="H24:L24"/>
    <mergeCell ref="G27:I27"/>
    <mergeCell ref="J27:M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死仇</vt:lpstr>
      <vt:lpstr>美愿</vt:lpstr>
      <vt:lpstr>涂鸦</vt:lpstr>
      <vt:lpstr>无相遇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丰源 张</dc:creator>
  <cp:lastModifiedBy>丰源 张</cp:lastModifiedBy>
  <dcterms:created xsi:type="dcterms:W3CDTF">2025-12-08T08:38:13Z</dcterms:created>
  <dcterms:modified xsi:type="dcterms:W3CDTF">2025-12-08T15:37:30Z</dcterms:modified>
</cp:coreProperties>
</file>